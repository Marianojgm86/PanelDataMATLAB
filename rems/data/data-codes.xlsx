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fleicester-my.sharepoint.com/personal/mjgm2_leicester_ac_uk/Documents/Documents/GitHub/PanelDataMATLAB/data/"/>
    </mc:Choice>
  </mc:AlternateContent>
  <xr:revisionPtr revIDLastSave="1025" documentId="8_{8BCF83A4-B8E1-4C0D-A470-D36CAA9F78FB}" xr6:coauthVersionLast="47" xr6:coauthVersionMax="47" xr10:uidLastSave="{87C53545-641A-4679-BE01-33FE0EBA942F}"/>
  <bookViews>
    <workbookView xWindow="28680" yWindow="-120" windowWidth="29040" windowHeight="15720" xr2:uid="{3AC5435B-CD04-4597-A7F7-4F4A800BCBE5}"/>
  </bookViews>
  <sheets>
    <sheet name="data-codes" sheetId="2" r:id="rId1"/>
    <sheet name="High receivers" sheetId="6" r:id="rId2"/>
    <sheet name="DATA" sheetId="4" r:id="rId3"/>
    <sheet name="drops" sheetId="5" r:id="rId4"/>
  </sheets>
  <definedNames>
    <definedName name="_xlnm._FilterDatabase" localSheetId="0" hidden="1">'data-codes'!$A$1:$Q$576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76" i="2" l="1"/>
  <c r="T575" i="2"/>
  <c r="T574" i="2"/>
  <c r="T573" i="2"/>
  <c r="T572" i="2"/>
  <c r="T571" i="2"/>
  <c r="T570" i="2"/>
  <c r="T569" i="2"/>
  <c r="T568" i="2"/>
  <c r="T567" i="2"/>
  <c r="T566" i="2"/>
  <c r="T565" i="2"/>
  <c r="T564" i="2"/>
  <c r="T563" i="2"/>
  <c r="T562" i="2"/>
  <c r="T561" i="2"/>
  <c r="T560" i="2"/>
  <c r="T559" i="2"/>
  <c r="T558" i="2"/>
  <c r="T557" i="2"/>
  <c r="T556" i="2"/>
  <c r="T555" i="2"/>
  <c r="T554" i="2"/>
  <c r="T553" i="2"/>
  <c r="T551" i="2"/>
  <c r="T550" i="2"/>
  <c r="T549" i="2"/>
  <c r="T548" i="2"/>
  <c r="T547" i="2"/>
  <c r="T546" i="2"/>
  <c r="T545" i="2"/>
  <c r="T544" i="2"/>
  <c r="T543" i="2"/>
  <c r="T542" i="2"/>
  <c r="T541" i="2"/>
  <c r="T540" i="2"/>
  <c r="T539" i="2"/>
  <c r="T538" i="2"/>
  <c r="T537" i="2"/>
  <c r="T536" i="2"/>
  <c r="T535" i="2"/>
  <c r="T534" i="2"/>
  <c r="T533" i="2"/>
  <c r="T532" i="2"/>
  <c r="T531" i="2"/>
  <c r="T530" i="2"/>
  <c r="T529" i="2"/>
  <c r="T528" i="2"/>
  <c r="T526" i="2"/>
  <c r="T525" i="2"/>
  <c r="T524" i="2"/>
  <c r="T523" i="2"/>
  <c r="T522" i="2"/>
  <c r="T521" i="2"/>
  <c r="T520" i="2"/>
  <c r="T519" i="2"/>
  <c r="T518" i="2"/>
  <c r="T517" i="2"/>
  <c r="T516" i="2"/>
  <c r="T515" i="2"/>
  <c r="T514" i="2"/>
  <c r="T513" i="2"/>
  <c r="T512" i="2"/>
  <c r="T511" i="2"/>
  <c r="T510" i="2"/>
  <c r="T509" i="2"/>
  <c r="T508" i="2"/>
  <c r="T507" i="2"/>
  <c r="T506" i="2"/>
  <c r="T505" i="2"/>
  <c r="T504" i="2"/>
  <c r="T503" i="2"/>
  <c r="T501" i="2"/>
  <c r="T500" i="2"/>
  <c r="T499" i="2"/>
  <c r="T498" i="2"/>
  <c r="T497" i="2"/>
  <c r="T496" i="2"/>
  <c r="T495" i="2"/>
  <c r="T494" i="2"/>
  <c r="T493" i="2"/>
  <c r="T492" i="2"/>
  <c r="T491" i="2"/>
  <c r="T490" i="2"/>
  <c r="T489" i="2"/>
  <c r="T488" i="2"/>
  <c r="T487" i="2"/>
  <c r="T486" i="2"/>
  <c r="T485" i="2"/>
  <c r="T484" i="2"/>
  <c r="T483" i="2"/>
  <c r="T482" i="2"/>
  <c r="T481" i="2"/>
  <c r="T480" i="2"/>
  <c r="T479" i="2"/>
  <c r="T478" i="2"/>
  <c r="T476" i="2"/>
  <c r="T475" i="2"/>
  <c r="T474" i="2"/>
  <c r="T473" i="2"/>
  <c r="T472" i="2"/>
  <c r="T471" i="2"/>
  <c r="T470" i="2"/>
  <c r="T469" i="2"/>
  <c r="T468" i="2"/>
  <c r="T467" i="2"/>
  <c r="T466" i="2"/>
  <c r="T465" i="2"/>
  <c r="T464" i="2"/>
  <c r="T463" i="2"/>
  <c r="T462" i="2"/>
  <c r="T461" i="2"/>
  <c r="T460" i="2"/>
  <c r="T459" i="2"/>
  <c r="T458" i="2"/>
  <c r="T457" i="2"/>
  <c r="T456" i="2"/>
  <c r="T455" i="2"/>
  <c r="T454" i="2"/>
  <c r="T453" i="2"/>
  <c r="T451" i="2"/>
  <c r="T450" i="2"/>
  <c r="T449" i="2"/>
  <c r="T448" i="2"/>
  <c r="T447" i="2"/>
  <c r="T446" i="2"/>
  <c r="T445" i="2"/>
  <c r="T444" i="2"/>
  <c r="T443" i="2"/>
  <c r="T442" i="2"/>
  <c r="T441" i="2"/>
  <c r="T440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408" i="2"/>
  <c r="T407" i="2"/>
  <c r="T406" i="2"/>
  <c r="T405" i="2"/>
  <c r="T404" i="2"/>
  <c r="T403" i="2"/>
  <c r="T401" i="2"/>
  <c r="T400" i="2"/>
  <c r="T399" i="2"/>
  <c r="T398" i="2"/>
  <c r="T397" i="2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3" i="2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4" i="6"/>
  <c r="C576" i="6"/>
  <c r="C551" i="6"/>
  <c r="C526" i="6"/>
  <c r="C501" i="6"/>
  <c r="C476" i="6"/>
  <c r="C451" i="6"/>
  <c r="C426" i="6"/>
  <c r="C401" i="6"/>
  <c r="C376" i="6"/>
  <c r="C351" i="6"/>
  <c r="C326" i="6"/>
  <c r="C301" i="6"/>
  <c r="C276" i="6"/>
  <c r="C251" i="6"/>
  <c r="C226" i="6"/>
  <c r="C201" i="6"/>
  <c r="C176" i="6"/>
  <c r="C151" i="6"/>
  <c r="C126" i="6"/>
  <c r="C101" i="6"/>
  <c r="C76" i="6"/>
  <c r="C51" i="6"/>
  <c r="C26" i="6"/>
  <c r="E176" i="2"/>
  <c r="E175" i="2"/>
  <c r="E174" i="2"/>
  <c r="E151" i="2"/>
  <c r="E150" i="2"/>
  <c r="F103" i="2"/>
  <c r="F102" i="2"/>
</calcChain>
</file>

<file path=xl/sharedStrings.xml><?xml version="1.0" encoding="utf-8"?>
<sst xmlns="http://schemas.openxmlformats.org/spreadsheetml/2006/main" count="1342" uniqueCount="86">
  <si>
    <t>UZB</t>
  </si>
  <si>
    <t>THA</t>
  </si>
  <si>
    <t>NZL</t>
  </si>
  <si>
    <t>KOR</t>
  </si>
  <si>
    <t>JPN</t>
  </si>
  <si>
    <t>IDN</t>
  </si>
  <si>
    <t>GEO</t>
  </si>
  <si>
    <t>AUS</t>
  </si>
  <si>
    <t>ARM</t>
  </si>
  <si>
    <t>SWE</t>
  </si>
  <si>
    <t>SRB</t>
  </si>
  <si>
    <t>ROU</t>
  </si>
  <si>
    <t>NOR</t>
  </si>
  <si>
    <t>ISL</t>
  </si>
  <si>
    <t>HUN</t>
  </si>
  <si>
    <t>CZE</t>
  </si>
  <si>
    <t>ALB</t>
  </si>
  <si>
    <t>URY</t>
  </si>
  <si>
    <t>PRY</t>
  </si>
  <si>
    <t>PER</t>
  </si>
  <si>
    <t>MEX</t>
  </si>
  <si>
    <t>GTM</t>
  </si>
  <si>
    <t>COL</t>
  </si>
  <si>
    <t>CHL</t>
  </si>
  <si>
    <t>BRA</t>
  </si>
  <si>
    <t>mp_rate</t>
  </si>
  <si>
    <t>lending_rate</t>
  </si>
  <si>
    <t>rem_gdp</t>
  </si>
  <si>
    <t>dep_rate</t>
  </si>
  <si>
    <t>cc_est</t>
  </si>
  <si>
    <t>IFS with gemini</t>
  </si>
  <si>
    <t>Control of Corruption (Worldwide Governance Indicators)</t>
  </si>
  <si>
    <t>remittances to GDP ratio IMF data</t>
  </si>
  <si>
    <t>Government Effectiveness: Estimate  (Worldwide Governance Indicators)</t>
  </si>
  <si>
    <t>ge_est</t>
  </si>
  <si>
    <t>ps_es</t>
  </si>
  <si>
    <t>Political Stability and Absence of Violence/Terrorism: Estimate   (Worldwide Governance Indicators)</t>
  </si>
  <si>
    <t>rq_est</t>
  </si>
  <si>
    <t>Regulatory Quality: Estimate   (Worldwide Governance Indicators)</t>
  </si>
  <si>
    <t>rl_est</t>
  </si>
  <si>
    <t>Rule of Law: Estimate   (Worldwide Governance Indicators)</t>
  </si>
  <si>
    <t>va_est</t>
  </si>
  <si>
    <t>Voice and Accountability: Estimate   (Worldwide Governance Indicators)</t>
  </si>
  <si>
    <t>ersi</t>
  </si>
  <si>
    <t>mii</t>
  </si>
  <si>
    <t>kaopen</t>
  </si>
  <si>
    <t>ka_open</t>
  </si>
  <si>
    <t>Financial Openness Index (https://web.pdx.edu/~ito/Chinn-Ito_website.htm)</t>
  </si>
  <si>
    <t>Exchange Rate Stability Index (https://web.pdx.edu/~ito/trilemma_indexes.htm)</t>
  </si>
  <si>
    <t>Monetary Independence Index (https://web.pdx.edu/~ito/trilemma_indexes.htm)</t>
  </si>
  <si>
    <t>if using ersi or mii -&gt; drop Serbia and Uzbekistan</t>
  </si>
  <si>
    <t>year</t>
  </si>
  <si>
    <t>country</t>
  </si>
  <si>
    <t>Countries</t>
  </si>
  <si>
    <t>Brazil</t>
  </si>
  <si>
    <t>Chile</t>
  </si>
  <si>
    <t>Colombia</t>
  </si>
  <si>
    <t>Guatemala</t>
  </si>
  <si>
    <t>Mexico</t>
  </si>
  <si>
    <t>Peru</t>
  </si>
  <si>
    <t>Paraguay</t>
  </si>
  <si>
    <t>Uruguay</t>
  </si>
  <si>
    <t>Albania</t>
  </si>
  <si>
    <t>Czech Republic</t>
  </si>
  <si>
    <t>Hungary</t>
  </si>
  <si>
    <t>Iceland</t>
  </si>
  <si>
    <t>Norway</t>
  </si>
  <si>
    <t>Romania</t>
  </si>
  <si>
    <t>Sweden</t>
  </si>
  <si>
    <t>Armenia</t>
  </si>
  <si>
    <t>Australia</t>
  </si>
  <si>
    <t>Georgia</t>
  </si>
  <si>
    <t>Indonesia</t>
  </si>
  <si>
    <t>Japan</t>
  </si>
  <si>
    <t>Korea</t>
  </si>
  <si>
    <t>New Zealand</t>
  </si>
  <si>
    <t>Thailand</t>
  </si>
  <si>
    <t>Latin America</t>
  </si>
  <si>
    <t>Europe</t>
  </si>
  <si>
    <t>Asia / Pacific</t>
  </si>
  <si>
    <t>id</t>
  </si>
  <si>
    <t>la_dummy</t>
  </si>
  <si>
    <t>high_rem5</t>
  </si>
  <si>
    <t>sample average</t>
  </si>
  <si>
    <t>&gt; 5%</t>
  </si>
  <si>
    <t>varRem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</si>
</sst>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2" fontId="0" fillId="0" borderId="0" xfId="0" applyNumberFormat="1"/>
    <xf numFmtId="164" fontId="0" fillId="3" borderId="0" xfId="0" applyNumberFormat="1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714D-B0C6-405E-9CC2-FF8BAB6FA6BC}">
  <dimension ref="A1:T576"/>
  <sheetViews>
    <sheetView tabSelected="1" workbookViewId="0">
      <pane xSplit="3" ySplit="1" topLeftCell="D551" activePane="bottomRight" state="frozen"/>
      <selection pane="topRight" activeCell="C1" sqref="C1"/>
      <selection pane="bottomLeft" activeCell="A2" sqref="A2"/>
      <selection pane="bottomRight" activeCell="T553" sqref="T553:T576"/>
    </sheetView>
  </sheetViews>
  <sheetFormatPr defaultRowHeight="14.4" x14ac:dyDescent="0.3"/>
  <sheetData>
    <row r="1" spans="1:20" x14ac:dyDescent="0.3">
      <c r="A1" t="s">
        <v>52</v>
      </c>
      <c r="B1" t="s">
        <v>80</v>
      </c>
      <c r="C1" t="s">
        <v>51</v>
      </c>
      <c r="D1" t="s">
        <v>27</v>
      </c>
      <c r="E1" t="s">
        <v>26</v>
      </c>
      <c r="F1" t="s">
        <v>25</v>
      </c>
      <c r="G1" t="s">
        <v>28</v>
      </c>
      <c r="H1" t="s">
        <v>29</v>
      </c>
      <c r="I1" t="s">
        <v>34</v>
      </c>
      <c r="J1" t="s">
        <v>35</v>
      </c>
      <c r="K1" t="s">
        <v>37</v>
      </c>
      <c r="L1" t="s">
        <v>39</v>
      </c>
      <c r="M1" t="s">
        <v>41</v>
      </c>
      <c r="N1" t="s">
        <v>43</v>
      </c>
      <c r="O1" t="s">
        <v>44</v>
      </c>
      <c r="P1" t="s">
        <v>45</v>
      </c>
      <c r="Q1" t="s">
        <v>46</v>
      </c>
      <c r="R1" t="s">
        <v>81</v>
      </c>
      <c r="S1" t="s">
        <v>82</v>
      </c>
      <c r="T1" t="s">
        <v>85</v>
      </c>
    </row>
    <row r="2" spans="1:20" x14ac:dyDescent="0.3">
      <c r="A2" s="5" t="s">
        <v>24</v>
      </c>
      <c r="B2" s="5">
        <v>1</v>
      </c>
      <c r="C2" s="5">
        <v>2000</v>
      </c>
      <c r="D2" s="5">
        <v>0.20590353656847499</v>
      </c>
      <c r="E2">
        <v>56.83</v>
      </c>
      <c r="F2">
        <v>15.75</v>
      </c>
      <c r="G2">
        <v>17.199166666666599</v>
      </c>
      <c r="H2">
        <v>1.3238783925771699E-2</v>
      </c>
      <c r="I2">
        <v>4.3085087090730702E-2</v>
      </c>
      <c r="J2">
        <v>0.18410162627696999</v>
      </c>
      <c r="K2">
        <v>0.25844243168830899</v>
      </c>
      <c r="L2">
        <v>-0.24487185478210399</v>
      </c>
      <c r="M2">
        <v>0.30159360170364402</v>
      </c>
      <c r="N2">
        <v>0.33551204204559326</v>
      </c>
      <c r="O2">
        <v>0.90763753652572632</v>
      </c>
      <c r="P2">
        <v>-1.2538762092590332</v>
      </c>
      <c r="Q2">
        <v>0.1624319851398468</v>
      </c>
      <c r="R2">
        <v>1</v>
      </c>
      <c r="S2">
        <v>0</v>
      </c>
    </row>
    <row r="3" spans="1:20" x14ac:dyDescent="0.3">
      <c r="A3" s="5" t="s">
        <v>24</v>
      </c>
      <c r="B3" s="5">
        <v>1</v>
      </c>
      <c r="C3" s="5">
        <v>2001</v>
      </c>
      <c r="D3" s="5">
        <v>0.258742172210844</v>
      </c>
      <c r="E3">
        <v>57.616666666666603</v>
      </c>
      <c r="F3">
        <v>19</v>
      </c>
      <c r="G3">
        <v>17.856666666666602</v>
      </c>
      <c r="H3">
        <v>4.7590548172593103E-2</v>
      </c>
      <c r="I3">
        <v>4.2348708957434013E-3</v>
      </c>
      <c r="J3">
        <v>0.25595095008611701</v>
      </c>
      <c r="K3">
        <v>0.22050475329160701</v>
      </c>
      <c r="L3">
        <v>-0.25574158132076252</v>
      </c>
      <c r="M3">
        <v>0.38691581785678852</v>
      </c>
      <c r="N3">
        <v>0.16499738395214081</v>
      </c>
      <c r="O3">
        <v>0.94486850500106812</v>
      </c>
      <c r="P3">
        <v>-1.2538762092590332</v>
      </c>
      <c r="Q3">
        <v>0.1624319851398468</v>
      </c>
      <c r="R3">
        <v>1</v>
      </c>
      <c r="S3">
        <v>0</v>
      </c>
      <c r="T3">
        <f>((D3-D2)/D2)</f>
        <v>0.25661839773595668</v>
      </c>
    </row>
    <row r="4" spans="1:20" x14ac:dyDescent="0.3">
      <c r="A4" s="5" t="s">
        <v>24</v>
      </c>
      <c r="B4" s="5">
        <v>1</v>
      </c>
      <c r="C4" s="5">
        <v>2002</v>
      </c>
      <c r="D4" s="5">
        <v>0.39305798135530101</v>
      </c>
      <c r="E4">
        <v>62.875</v>
      </c>
      <c r="F4">
        <v>25</v>
      </c>
      <c r="G4">
        <v>19.142727908450698</v>
      </c>
      <c r="H4">
        <v>8.1942312419414506E-2</v>
      </c>
      <c r="I4">
        <v>-3.4615345299243899E-2</v>
      </c>
      <c r="J4">
        <v>0.327800273895264</v>
      </c>
      <c r="K4">
        <v>0.18256707489490501</v>
      </c>
      <c r="L4">
        <v>-0.266611307859421</v>
      </c>
      <c r="M4">
        <v>0.47223803400993303</v>
      </c>
      <c r="N4">
        <v>8.5009433329105377E-2</v>
      </c>
      <c r="O4">
        <v>0.67247915267944336</v>
      </c>
      <c r="P4">
        <v>-0.17476625740528107</v>
      </c>
      <c r="Q4">
        <v>0.4181329607963562</v>
      </c>
      <c r="R4">
        <v>1</v>
      </c>
      <c r="S4">
        <v>0</v>
      </c>
      <c r="T4">
        <f t="shared" ref="T4:T51" si="0">((D4-D3)/D3)</f>
        <v>0.51911061887122778</v>
      </c>
    </row>
    <row r="5" spans="1:20" x14ac:dyDescent="0.3">
      <c r="A5" s="5" t="s">
        <v>24</v>
      </c>
      <c r="B5" s="5">
        <v>1</v>
      </c>
      <c r="C5" s="5">
        <v>2003</v>
      </c>
      <c r="D5" s="5">
        <v>0.40962770628406198</v>
      </c>
      <c r="E5">
        <v>67.0833333333333</v>
      </c>
      <c r="F5">
        <v>16.5</v>
      </c>
      <c r="G5">
        <v>21.9706904803306</v>
      </c>
      <c r="H5">
        <v>9.0239018201828003E-2</v>
      </c>
      <c r="I5">
        <v>8.1757366657257094E-2</v>
      </c>
      <c r="J5">
        <v>4.2139342986047303E-3</v>
      </c>
      <c r="K5">
        <v>0.19670148193836201</v>
      </c>
      <c r="L5">
        <v>-0.367893666028976</v>
      </c>
      <c r="M5">
        <v>0.44282886385917702</v>
      </c>
      <c r="N5">
        <v>0.16682885587215424</v>
      </c>
      <c r="O5">
        <v>0.39314725995063782</v>
      </c>
      <c r="P5">
        <v>-0.17476625740528107</v>
      </c>
      <c r="Q5">
        <v>0.4181329607963562</v>
      </c>
      <c r="R5">
        <v>1</v>
      </c>
      <c r="S5">
        <v>0</v>
      </c>
      <c r="T5">
        <f t="shared" si="0"/>
        <v>4.215593045999725E-2</v>
      </c>
    </row>
    <row r="6" spans="1:20" x14ac:dyDescent="0.3">
      <c r="A6" s="5" t="s">
        <v>24</v>
      </c>
      <c r="B6" s="5">
        <v>1</v>
      </c>
      <c r="C6" s="5">
        <v>2004</v>
      </c>
      <c r="D6" s="5">
        <v>0.42022394617453201</v>
      </c>
      <c r="E6">
        <v>54.924999999999997</v>
      </c>
      <c r="F6">
        <v>17.75</v>
      </c>
      <c r="G6">
        <v>15.4161509661468</v>
      </c>
      <c r="H6">
        <v>-2.7268711477518099E-2</v>
      </c>
      <c r="I6">
        <v>-9.2270918190479306E-2</v>
      </c>
      <c r="J6">
        <v>-0.27599281072616599</v>
      </c>
      <c r="K6">
        <v>3.7414185702800799E-2</v>
      </c>
      <c r="L6">
        <v>-0.40092012286186202</v>
      </c>
      <c r="M6">
        <v>0.38860946893692</v>
      </c>
      <c r="N6">
        <v>0.26042303442955017</v>
      </c>
      <c r="O6">
        <v>0.2057059109210968</v>
      </c>
      <c r="P6">
        <v>-0.17476625740528107</v>
      </c>
      <c r="Q6">
        <v>0.4181329607963562</v>
      </c>
      <c r="R6">
        <v>1</v>
      </c>
      <c r="S6">
        <v>0</v>
      </c>
      <c r="T6">
        <f t="shared" si="0"/>
        <v>2.5867976525791762E-2</v>
      </c>
    </row>
    <row r="7" spans="1:20" x14ac:dyDescent="0.3">
      <c r="A7" s="5" t="s">
        <v>24</v>
      </c>
      <c r="B7" s="5">
        <v>1</v>
      </c>
      <c r="C7" s="5">
        <v>2005</v>
      </c>
      <c r="D7" s="5">
        <v>0.31463117663643603</v>
      </c>
      <c r="E7">
        <v>55.383333333333297</v>
      </c>
      <c r="F7">
        <v>18</v>
      </c>
      <c r="G7">
        <v>17.628747668232599</v>
      </c>
      <c r="H7">
        <v>-0.153748139739037</v>
      </c>
      <c r="I7">
        <v>-0.15767024457454701</v>
      </c>
      <c r="J7">
        <v>-0.26337975263595598</v>
      </c>
      <c r="K7">
        <v>3.6901257932186099E-2</v>
      </c>
      <c r="L7">
        <v>-0.47553145885467502</v>
      </c>
      <c r="M7">
        <v>0.45767951011657698</v>
      </c>
      <c r="N7">
        <v>0.21961092948913574</v>
      </c>
      <c r="O7">
        <v>0.49924424290657043</v>
      </c>
      <c r="P7">
        <v>7.7006131410598755E-2</v>
      </c>
      <c r="Q7">
        <v>0.47779181599617004</v>
      </c>
      <c r="R7">
        <v>1</v>
      </c>
      <c r="S7">
        <v>0</v>
      </c>
      <c r="T7">
        <f t="shared" si="0"/>
        <v>-0.25127737364647956</v>
      </c>
    </row>
    <row r="8" spans="1:20" x14ac:dyDescent="0.3">
      <c r="A8" s="5" t="s">
        <v>24</v>
      </c>
      <c r="B8" s="5">
        <v>1</v>
      </c>
      <c r="C8" s="5">
        <v>2006</v>
      </c>
      <c r="D8" s="5">
        <v>0.29677525531574001</v>
      </c>
      <c r="E8">
        <v>50.808333333333302</v>
      </c>
      <c r="F8">
        <v>13.25</v>
      </c>
      <c r="G8">
        <v>13.9324026747455</v>
      </c>
      <c r="H8">
        <v>-0.120479896664619</v>
      </c>
      <c r="I8">
        <v>-0.39129549264907798</v>
      </c>
      <c r="J8">
        <v>-0.29491111636161799</v>
      </c>
      <c r="K8">
        <v>-4.1273385286331198E-2</v>
      </c>
      <c r="L8">
        <v>-0.40262019634246798</v>
      </c>
      <c r="M8">
        <v>0.50007569789886497</v>
      </c>
      <c r="N8">
        <v>0.19140028953552246</v>
      </c>
      <c r="O8">
        <v>0.50067436695098877</v>
      </c>
      <c r="P8">
        <v>0.32877853512763977</v>
      </c>
      <c r="Q8">
        <v>0.53745067119598389</v>
      </c>
      <c r="R8">
        <v>1</v>
      </c>
      <c r="S8">
        <v>0</v>
      </c>
      <c r="T8">
        <f t="shared" si="0"/>
        <v>-5.6751913499433572E-2</v>
      </c>
    </row>
    <row r="9" spans="1:20" x14ac:dyDescent="0.3">
      <c r="A9" s="5" t="s">
        <v>24</v>
      </c>
      <c r="B9" s="5">
        <v>1</v>
      </c>
      <c r="C9" s="5">
        <v>2007</v>
      </c>
      <c r="D9" s="5">
        <v>0.23660871017895099</v>
      </c>
      <c r="E9">
        <v>43.716666666666598</v>
      </c>
      <c r="F9">
        <v>11.25</v>
      </c>
      <c r="G9">
        <v>10.577252570993799</v>
      </c>
      <c r="H9">
        <v>-8.3988785743713407E-2</v>
      </c>
      <c r="I9">
        <v>-0.29028996825218201</v>
      </c>
      <c r="J9">
        <v>-0.35794809460639998</v>
      </c>
      <c r="K9">
        <v>-2.28346195071936E-2</v>
      </c>
      <c r="L9">
        <v>-0.40977942943572998</v>
      </c>
      <c r="M9">
        <v>0.53707402944564797</v>
      </c>
      <c r="N9">
        <v>0.23868933320045471</v>
      </c>
      <c r="O9">
        <v>0.67477762699127197</v>
      </c>
      <c r="P9">
        <v>0.32877853512763977</v>
      </c>
      <c r="Q9">
        <v>0.53745067119598389</v>
      </c>
      <c r="R9">
        <v>1</v>
      </c>
      <c r="S9">
        <v>0</v>
      </c>
      <c r="T9">
        <f t="shared" si="0"/>
        <v>-0.2027343724219112</v>
      </c>
    </row>
    <row r="10" spans="1:20" x14ac:dyDescent="0.3">
      <c r="A10" s="5" t="s">
        <v>24</v>
      </c>
      <c r="B10" s="5">
        <v>1</v>
      </c>
      <c r="C10" s="5">
        <v>2008</v>
      </c>
      <c r="D10" s="5">
        <v>0.21479337316750899</v>
      </c>
      <c r="E10">
        <v>47.25</v>
      </c>
      <c r="F10">
        <v>13.75</v>
      </c>
      <c r="G10">
        <v>11.6553322573294</v>
      </c>
      <c r="H10">
        <v>3.43736819922924E-3</v>
      </c>
      <c r="I10">
        <v>-0.148200899362564</v>
      </c>
      <c r="J10">
        <v>-0.31342470645904502</v>
      </c>
      <c r="K10">
        <v>7.7027410268783597E-2</v>
      </c>
      <c r="L10">
        <v>-0.28804478049278298</v>
      </c>
      <c r="M10">
        <v>0.56898570060730003</v>
      </c>
      <c r="N10">
        <v>0.13290597498416901</v>
      </c>
      <c r="O10">
        <v>0.43578618764877319</v>
      </c>
      <c r="P10">
        <v>0.32877853512763977</v>
      </c>
      <c r="Q10">
        <v>0.53745067119598389</v>
      </c>
      <c r="R10">
        <v>1</v>
      </c>
      <c r="S10">
        <v>0</v>
      </c>
      <c r="T10">
        <f t="shared" si="0"/>
        <v>-9.2200058886009365E-2</v>
      </c>
    </row>
    <row r="11" spans="1:20" x14ac:dyDescent="0.3">
      <c r="A11" s="5" t="s">
        <v>24</v>
      </c>
      <c r="B11" s="5">
        <v>1</v>
      </c>
      <c r="C11" s="5">
        <v>2009</v>
      </c>
      <c r="D11" s="5">
        <v>0.173315292299207</v>
      </c>
      <c r="E11">
        <v>44.65</v>
      </c>
      <c r="F11">
        <v>8.75</v>
      </c>
      <c r="G11">
        <v>9.2788317677565004</v>
      </c>
      <c r="H11">
        <v>-7.9985611140727997E-2</v>
      </c>
      <c r="I11">
        <v>-0.15130357444286299</v>
      </c>
      <c r="J11">
        <v>0.16366422176361101</v>
      </c>
      <c r="K11">
        <v>0.127607271075249</v>
      </c>
      <c r="L11">
        <v>-0.103854693472385</v>
      </c>
      <c r="M11">
        <v>0.52199918031692505</v>
      </c>
      <c r="N11">
        <v>0.24028861522674561</v>
      </c>
      <c r="O11">
        <v>0.46412447094917297</v>
      </c>
      <c r="P11">
        <v>0.32877853512763977</v>
      </c>
      <c r="Q11">
        <v>0.53745067119598389</v>
      </c>
      <c r="R11">
        <v>1</v>
      </c>
      <c r="S11">
        <v>0</v>
      </c>
      <c r="T11">
        <f t="shared" si="0"/>
        <v>-0.19310689271570239</v>
      </c>
    </row>
    <row r="12" spans="1:20" x14ac:dyDescent="0.3">
      <c r="A12" s="5" t="s">
        <v>24</v>
      </c>
      <c r="B12" s="5">
        <v>1</v>
      </c>
      <c r="C12" s="5">
        <v>2010</v>
      </c>
      <c r="D12" s="5">
        <v>0.13956667327807701</v>
      </c>
      <c r="E12">
        <v>39.991666666666603</v>
      </c>
      <c r="F12">
        <v>10.75</v>
      </c>
      <c r="G12">
        <v>8.8704393166778495</v>
      </c>
      <c r="H12">
        <v>4.3806359171867398E-2</v>
      </c>
      <c r="I12">
        <v>-8.6862549185752896E-2</v>
      </c>
      <c r="J12">
        <v>1.34759107604623E-2</v>
      </c>
      <c r="K12">
        <v>0.24661986529827101</v>
      </c>
      <c r="L12">
        <v>5.6414436548948302E-2</v>
      </c>
      <c r="M12">
        <v>0.57134890556335405</v>
      </c>
      <c r="N12">
        <v>0.23399360477924347</v>
      </c>
      <c r="O12">
        <v>0.39824977517127991</v>
      </c>
      <c r="P12">
        <v>7.7006131410598755E-2</v>
      </c>
      <c r="Q12">
        <v>0.47779181599617004</v>
      </c>
      <c r="R12">
        <v>1</v>
      </c>
      <c r="S12">
        <v>0</v>
      </c>
      <c r="T12">
        <f t="shared" si="0"/>
        <v>-0.19472383869547563</v>
      </c>
    </row>
    <row r="13" spans="1:20" x14ac:dyDescent="0.3">
      <c r="A13" s="5" t="s">
        <v>24</v>
      </c>
      <c r="B13" s="5">
        <v>1</v>
      </c>
      <c r="C13" s="5">
        <v>2011</v>
      </c>
      <c r="D13" s="5">
        <v>0.12287499283704199</v>
      </c>
      <c r="E13">
        <v>43.883333333333297</v>
      </c>
      <c r="F13">
        <v>11</v>
      </c>
      <c r="G13">
        <v>10.9923648153523</v>
      </c>
      <c r="H13">
        <v>0.16838242113590199</v>
      </c>
      <c r="I13">
        <v>-0.152404069900513</v>
      </c>
      <c r="J13">
        <v>-0.13257542252540599</v>
      </c>
      <c r="K13">
        <v>0.25802206993103</v>
      </c>
      <c r="L13">
        <v>4.5141723006963702E-2</v>
      </c>
      <c r="M13">
        <v>0.51367616653442405</v>
      </c>
      <c r="N13">
        <v>0.15256130695343018</v>
      </c>
      <c r="O13">
        <v>0.61352264881134033</v>
      </c>
      <c r="P13">
        <v>-0.17476625740528107</v>
      </c>
      <c r="Q13">
        <v>0.4181329607963562</v>
      </c>
      <c r="R13">
        <v>1</v>
      </c>
      <c r="S13">
        <v>0</v>
      </c>
      <c r="T13">
        <f t="shared" si="0"/>
        <v>-0.11959646274421107</v>
      </c>
    </row>
    <row r="14" spans="1:20" x14ac:dyDescent="0.3">
      <c r="A14" s="5" t="s">
        <v>24</v>
      </c>
      <c r="B14" s="5">
        <v>1</v>
      </c>
      <c r="C14" s="5">
        <v>2012</v>
      </c>
      <c r="D14" s="5">
        <v>0.112933640369011</v>
      </c>
      <c r="E14">
        <v>36.636666666666599</v>
      </c>
      <c r="F14">
        <v>7.25</v>
      </c>
      <c r="G14">
        <v>7.9074665016006804</v>
      </c>
      <c r="H14">
        <v>-4.6854231506586103E-2</v>
      </c>
      <c r="I14">
        <v>-0.16054867208004001</v>
      </c>
      <c r="J14">
        <v>4.5961640775203698E-2</v>
      </c>
      <c r="K14">
        <v>0.173244088888168</v>
      </c>
      <c r="L14">
        <v>-7.6932795345783206E-2</v>
      </c>
      <c r="M14">
        <v>0.47790619730949402</v>
      </c>
      <c r="N14">
        <v>0.19549891352653503</v>
      </c>
      <c r="O14">
        <v>0.84642010927200317</v>
      </c>
      <c r="P14">
        <v>-0.17476625740528107</v>
      </c>
      <c r="Q14">
        <v>0.4181329607963562</v>
      </c>
      <c r="R14">
        <v>1</v>
      </c>
      <c r="S14">
        <v>0</v>
      </c>
      <c r="T14">
        <f t="shared" si="0"/>
        <v>-8.0906230295494763E-2</v>
      </c>
    </row>
    <row r="15" spans="1:20" x14ac:dyDescent="0.3">
      <c r="A15" s="5" t="s">
        <v>24</v>
      </c>
      <c r="B15" s="5">
        <v>1</v>
      </c>
      <c r="C15" s="5">
        <v>2013</v>
      </c>
      <c r="D15" s="5">
        <v>0.109901884075103</v>
      </c>
      <c r="E15">
        <v>27.391666666666602</v>
      </c>
      <c r="F15">
        <v>10</v>
      </c>
      <c r="G15">
        <v>7.8071037865716102</v>
      </c>
      <c r="H15">
        <v>-9.7959607839584406E-2</v>
      </c>
      <c r="I15">
        <v>-0.119030974805355</v>
      </c>
      <c r="J15">
        <v>-0.258553296327591</v>
      </c>
      <c r="K15">
        <v>0.146290123462677</v>
      </c>
      <c r="L15">
        <v>-9.2045202851295499E-2</v>
      </c>
      <c r="M15">
        <v>0.41739705204963701</v>
      </c>
      <c r="N15">
        <v>0.22079984843730927</v>
      </c>
      <c r="O15">
        <v>0.61451470851898193</v>
      </c>
      <c r="P15">
        <v>-0.17476625740528107</v>
      </c>
      <c r="Q15">
        <v>0.4181329607963562</v>
      </c>
      <c r="R15">
        <v>1</v>
      </c>
      <c r="S15">
        <v>0</v>
      </c>
      <c r="T15">
        <f t="shared" si="0"/>
        <v>-2.6845466806894147E-2</v>
      </c>
    </row>
    <row r="16" spans="1:20" x14ac:dyDescent="0.3">
      <c r="A16" s="5" t="s">
        <v>24</v>
      </c>
      <c r="B16" s="5">
        <v>1</v>
      </c>
      <c r="C16" s="5">
        <v>2014</v>
      </c>
      <c r="D16" s="5">
        <v>0.10781194332369599</v>
      </c>
      <c r="E16">
        <v>32.008333333333297</v>
      </c>
      <c r="F16">
        <v>11.75</v>
      </c>
      <c r="G16">
        <v>10.023635101878</v>
      </c>
      <c r="H16">
        <v>-0.36611708998680098</v>
      </c>
      <c r="I16">
        <v>-0.175920635461807</v>
      </c>
      <c r="J16">
        <v>-7.0290133357048007E-2</v>
      </c>
      <c r="K16">
        <v>-2.8219953179359401E-2</v>
      </c>
      <c r="L16">
        <v>-5.2965760231018101E-2</v>
      </c>
      <c r="M16">
        <v>0.47193014621734602</v>
      </c>
      <c r="N16">
        <v>0.21275807917118073</v>
      </c>
      <c r="O16">
        <v>0.40202701091766357</v>
      </c>
      <c r="P16">
        <v>-0.17476625740528107</v>
      </c>
      <c r="Q16">
        <v>0.4181329607963562</v>
      </c>
      <c r="R16">
        <v>1</v>
      </c>
      <c r="S16">
        <v>0</v>
      </c>
      <c r="T16">
        <f t="shared" si="0"/>
        <v>-1.9016423321540275E-2</v>
      </c>
    </row>
    <row r="17" spans="1:20" x14ac:dyDescent="0.3">
      <c r="A17" s="5" t="s">
        <v>24</v>
      </c>
      <c r="B17" s="5">
        <v>1</v>
      </c>
      <c r="C17" s="5">
        <v>2015</v>
      </c>
      <c r="D17" s="5">
        <v>0.16074190786565401</v>
      </c>
      <c r="E17">
        <v>43.9583333333333</v>
      </c>
      <c r="F17">
        <v>14.25</v>
      </c>
      <c r="G17">
        <v>12.6224588389549</v>
      </c>
      <c r="H17">
        <v>-0.45784071087837203</v>
      </c>
      <c r="I17">
        <v>-0.25527155399322499</v>
      </c>
      <c r="J17">
        <v>-0.33186444640159601</v>
      </c>
      <c r="K17">
        <v>-0.18191003799438499</v>
      </c>
      <c r="L17">
        <v>-0.187332957983017</v>
      </c>
      <c r="M17">
        <v>0.45887100696563698</v>
      </c>
      <c r="N17">
        <v>0.12014246731996536</v>
      </c>
      <c r="O17">
        <v>0.41750627756118774</v>
      </c>
      <c r="P17">
        <v>-1.2538762092590332</v>
      </c>
      <c r="Q17">
        <v>0.1624319851398468</v>
      </c>
      <c r="R17">
        <v>1</v>
      </c>
      <c r="S17">
        <v>0</v>
      </c>
      <c r="T17">
        <f t="shared" si="0"/>
        <v>0.49094713359391356</v>
      </c>
    </row>
    <row r="18" spans="1:20" x14ac:dyDescent="0.3">
      <c r="A18" s="5" t="s">
        <v>24</v>
      </c>
      <c r="B18" s="5">
        <v>1</v>
      </c>
      <c r="C18" s="5">
        <v>2016</v>
      </c>
      <c r="D18" s="5">
        <v>0.15257541911344799</v>
      </c>
      <c r="E18">
        <v>52.1</v>
      </c>
      <c r="F18">
        <v>13.75</v>
      </c>
      <c r="G18">
        <v>12.4457643794586</v>
      </c>
      <c r="H18">
        <v>-0.44609558582305903</v>
      </c>
      <c r="I18">
        <v>-0.24938707053661299</v>
      </c>
      <c r="J18">
        <v>-0.38103505969047502</v>
      </c>
      <c r="K18">
        <v>-0.189951747655869</v>
      </c>
      <c r="L18">
        <v>-0.20130199193954501</v>
      </c>
      <c r="M18">
        <v>0.45197585225105302</v>
      </c>
      <c r="N18">
        <v>0.16552621126174927</v>
      </c>
      <c r="O18">
        <v>0.73655074834823608</v>
      </c>
      <c r="P18">
        <v>-1.2538762092590332</v>
      </c>
      <c r="Q18">
        <v>0.1624319851398468</v>
      </c>
      <c r="R18">
        <v>1</v>
      </c>
      <c r="S18">
        <v>0</v>
      </c>
      <c r="T18">
        <f t="shared" si="0"/>
        <v>-5.0804975881158905E-2</v>
      </c>
    </row>
    <row r="19" spans="1:20" x14ac:dyDescent="0.3">
      <c r="A19" s="5" t="s">
        <v>24</v>
      </c>
      <c r="B19" s="5">
        <v>1</v>
      </c>
      <c r="C19" s="5">
        <v>2017</v>
      </c>
      <c r="D19" s="5">
        <v>0.130785143710407</v>
      </c>
      <c r="E19">
        <v>46.9166666666666</v>
      </c>
      <c r="F19">
        <v>7</v>
      </c>
      <c r="G19">
        <v>8.5135331985482896</v>
      </c>
      <c r="H19">
        <v>-0.55981463193893399</v>
      </c>
      <c r="I19">
        <v>-0.31714060902595498</v>
      </c>
      <c r="J19">
        <v>-0.47994756698608398</v>
      </c>
      <c r="K19">
        <v>-0.13097886741161299</v>
      </c>
      <c r="L19">
        <v>-0.30542856454849199</v>
      </c>
      <c r="M19">
        <v>0.44953152537345897</v>
      </c>
      <c r="N19">
        <v>0.27810075879096985</v>
      </c>
      <c r="O19">
        <v>0.93837279081344604</v>
      </c>
      <c r="P19">
        <v>-1.2538762092590332</v>
      </c>
      <c r="Q19">
        <v>0.1624319851398468</v>
      </c>
      <c r="R19">
        <v>1</v>
      </c>
      <c r="S19">
        <v>0</v>
      </c>
      <c r="T19">
        <f t="shared" si="0"/>
        <v>-0.14281642173854198</v>
      </c>
    </row>
    <row r="20" spans="1:20" x14ac:dyDescent="0.3">
      <c r="A20" s="5" t="s">
        <v>24</v>
      </c>
      <c r="B20" s="5">
        <v>1</v>
      </c>
      <c r="C20" s="5">
        <v>2018</v>
      </c>
      <c r="D20" s="5">
        <v>0.153030293312066</v>
      </c>
      <c r="E20">
        <v>39.0833333333333</v>
      </c>
      <c r="F20">
        <v>6.5</v>
      </c>
      <c r="G20">
        <v>6.8721589126114901</v>
      </c>
      <c r="H20">
        <v>-0.480954378843307</v>
      </c>
      <c r="I20">
        <v>-0.52056962251663197</v>
      </c>
      <c r="J20">
        <v>-0.45959851145744302</v>
      </c>
      <c r="K20">
        <v>-0.293125450611115</v>
      </c>
      <c r="L20">
        <v>-0.30234295129776001</v>
      </c>
      <c r="M20">
        <v>0.37685206532478299</v>
      </c>
      <c r="N20">
        <v>0.16696308553218842</v>
      </c>
      <c r="O20">
        <v>0.62156909704208374</v>
      </c>
      <c r="P20">
        <v>-1.2538762092590332</v>
      </c>
      <c r="Q20">
        <v>0.1624319851398468</v>
      </c>
      <c r="R20">
        <v>1</v>
      </c>
      <c r="S20">
        <v>0</v>
      </c>
      <c r="T20">
        <f t="shared" si="0"/>
        <v>0.17008926985557055</v>
      </c>
    </row>
    <row r="21" spans="1:20" x14ac:dyDescent="0.3">
      <c r="A21" s="5" t="s">
        <v>24</v>
      </c>
      <c r="B21" s="5">
        <v>1</v>
      </c>
      <c r="C21" s="5">
        <v>2019</v>
      </c>
      <c r="D21" s="5">
        <v>0.17154977794245699</v>
      </c>
      <c r="E21">
        <v>37.475000000000001</v>
      </c>
      <c r="F21">
        <v>4.5</v>
      </c>
      <c r="G21">
        <v>5.4301752832714598</v>
      </c>
      <c r="H21">
        <v>-0.40789270401000999</v>
      </c>
      <c r="I21">
        <v>-0.23411467671394301</v>
      </c>
      <c r="J21">
        <v>-0.71422463655471802</v>
      </c>
      <c r="K21">
        <v>-0.121404096484184</v>
      </c>
      <c r="L21">
        <v>-0.22431981563568101</v>
      </c>
      <c r="M21">
        <v>0.30144482851028398</v>
      </c>
      <c r="N21">
        <v>0.18111620843410492</v>
      </c>
      <c r="O21">
        <v>0.32595020532608032</v>
      </c>
      <c r="P21">
        <v>-1.2538762092590332</v>
      </c>
      <c r="Q21">
        <v>0.1624319851398468</v>
      </c>
      <c r="R21">
        <v>1</v>
      </c>
      <c r="S21">
        <v>0</v>
      </c>
      <c r="T21">
        <f t="shared" si="0"/>
        <v>0.12101842210172896</v>
      </c>
    </row>
    <row r="22" spans="1:20" x14ac:dyDescent="0.3">
      <c r="A22" s="5" t="s">
        <v>24</v>
      </c>
      <c r="B22" s="5">
        <v>1</v>
      </c>
      <c r="C22" s="5">
        <v>2020</v>
      </c>
      <c r="D22" s="5">
        <v>0.24159622118531501</v>
      </c>
      <c r="E22">
        <v>29.0416666666666</v>
      </c>
      <c r="F22">
        <v>2</v>
      </c>
      <c r="G22">
        <v>2.1964273296840702</v>
      </c>
      <c r="H22">
        <v>-0.42908349633216902</v>
      </c>
      <c r="I22">
        <v>-0.465709209442139</v>
      </c>
      <c r="J22">
        <v>-0.44689092040062001</v>
      </c>
      <c r="K22">
        <v>-0.111011527478695</v>
      </c>
      <c r="L22">
        <v>-0.231919765472412</v>
      </c>
      <c r="M22">
        <v>0.287395060062408</v>
      </c>
      <c r="N22">
        <v>0.14696528017520905</v>
      </c>
      <c r="O22">
        <v>5.4019495844841003E-2</v>
      </c>
      <c r="P22">
        <v>-1.2538762092590332</v>
      </c>
      <c r="Q22">
        <v>0.1624319851398468</v>
      </c>
      <c r="R22">
        <v>1</v>
      </c>
      <c r="S22">
        <v>0</v>
      </c>
      <c r="T22">
        <f t="shared" si="0"/>
        <v>0.40831555763571858</v>
      </c>
    </row>
    <row r="23" spans="1:20" x14ac:dyDescent="0.3">
      <c r="A23" s="5" t="s">
        <v>24</v>
      </c>
      <c r="B23" s="5">
        <v>1</v>
      </c>
      <c r="C23" s="5">
        <v>2021</v>
      </c>
      <c r="D23" s="5">
        <v>0.24553463468133599</v>
      </c>
      <c r="E23">
        <v>30.016666666666602</v>
      </c>
      <c r="F23">
        <v>9.25</v>
      </c>
      <c r="G23">
        <v>4.348053883505</v>
      </c>
      <c r="H23">
        <v>-0.49921795725822399</v>
      </c>
      <c r="I23">
        <v>-0.49299037456512501</v>
      </c>
      <c r="J23">
        <v>-0.41987976431846602</v>
      </c>
      <c r="K23">
        <v>-0.121613994240761</v>
      </c>
      <c r="L23">
        <v>-0.30141738057136502</v>
      </c>
      <c r="M23">
        <v>0.25450882315635698</v>
      </c>
      <c r="N23">
        <v>0.18773430883884429</v>
      </c>
      <c r="O23">
        <v>0.53529246747493742</v>
      </c>
      <c r="P23">
        <v>-1.2538762092590332</v>
      </c>
      <c r="Q23">
        <v>0.1624319851398468</v>
      </c>
      <c r="R23">
        <v>1</v>
      </c>
      <c r="S23">
        <v>0</v>
      </c>
      <c r="T23">
        <f t="shared" si="0"/>
        <v>1.630163533476808E-2</v>
      </c>
    </row>
    <row r="24" spans="1:20" x14ac:dyDescent="0.3">
      <c r="A24" s="5" t="s">
        <v>24</v>
      </c>
      <c r="B24" s="5">
        <v>1</v>
      </c>
      <c r="C24" s="5">
        <v>2022</v>
      </c>
      <c r="D24" s="5">
        <v>0.25481315678491501</v>
      </c>
      <c r="E24">
        <v>39.4</v>
      </c>
      <c r="F24">
        <v>13.75</v>
      </c>
      <c r="G24">
        <v>11.999408024806501</v>
      </c>
      <c r="H24">
        <v>-0.56635433435440097</v>
      </c>
      <c r="I24">
        <v>-0.58825933933258101</v>
      </c>
      <c r="J24">
        <v>-0.39503693580627403</v>
      </c>
      <c r="K24">
        <v>-0.22043763101100899</v>
      </c>
      <c r="L24">
        <v>-0.257879137992859</v>
      </c>
      <c r="M24">
        <v>0.225268334150314</v>
      </c>
      <c r="N24">
        <v>0.19217592835426331</v>
      </c>
      <c r="O24">
        <v>0.49504081130027772</v>
      </c>
      <c r="P24">
        <v>-1.2538762092590332</v>
      </c>
      <c r="Q24">
        <v>0.1624319851398468</v>
      </c>
      <c r="R24">
        <v>1</v>
      </c>
      <c r="S24">
        <v>0</v>
      </c>
      <c r="T24">
        <f t="shared" si="0"/>
        <v>3.7789056177842402E-2</v>
      </c>
    </row>
    <row r="25" spans="1:20" x14ac:dyDescent="0.3">
      <c r="A25" s="5" t="s">
        <v>24</v>
      </c>
      <c r="B25" s="5">
        <v>1</v>
      </c>
      <c r="C25" s="5">
        <v>2023</v>
      </c>
      <c r="D25" s="5">
        <v>0.20234751795175401</v>
      </c>
      <c r="E25">
        <v>43.6</v>
      </c>
      <c r="F25">
        <v>11.75</v>
      </c>
      <c r="G25">
        <v>12.1387656731678</v>
      </c>
      <c r="H25">
        <v>-0.50364315509796098</v>
      </c>
      <c r="I25">
        <v>-0.54676431417465199</v>
      </c>
      <c r="J25">
        <v>-0.40856778621673601</v>
      </c>
      <c r="K25">
        <v>-0.29647821187973</v>
      </c>
      <c r="L25">
        <v>-0.30880284309387201</v>
      </c>
      <c r="M25">
        <v>0.38285386562347401</v>
      </c>
      <c r="N25">
        <v>0.17499096226692201</v>
      </c>
      <c r="O25">
        <v>0.40637441539764402</v>
      </c>
      <c r="P25">
        <v>-1.2538762092590332</v>
      </c>
      <c r="Q25">
        <v>0.1624319851398468</v>
      </c>
      <c r="R25">
        <v>1</v>
      </c>
      <c r="S25">
        <v>0</v>
      </c>
      <c r="T25">
        <f t="shared" si="0"/>
        <v>-0.20589846888262001</v>
      </c>
    </row>
    <row r="26" spans="1:20" x14ac:dyDescent="0.3">
      <c r="A26" s="5" t="s">
        <v>24</v>
      </c>
      <c r="B26" s="5">
        <v>1</v>
      </c>
      <c r="C26" s="5">
        <v>2024</v>
      </c>
      <c r="D26" s="5">
        <v>0.224281814146123</v>
      </c>
      <c r="E26">
        <v>40.225000000000001</v>
      </c>
      <c r="F26">
        <v>12.25</v>
      </c>
      <c r="G26">
        <v>7.7036848559533402</v>
      </c>
      <c r="H26">
        <v>-0.481238329410553</v>
      </c>
      <c r="I26">
        <v>-0.46556758284568805</v>
      </c>
      <c r="J26">
        <v>-0.47692000865936279</v>
      </c>
      <c r="K26">
        <v>-0.1741890922188758</v>
      </c>
      <c r="L26">
        <v>-0.26486778855323784</v>
      </c>
      <c r="M26">
        <v>0.29029418230056747</v>
      </c>
      <c r="N26">
        <v>0.17659653761386873</v>
      </c>
      <c r="O26">
        <v>0.36333547906875607</v>
      </c>
      <c r="P26">
        <v>-1.2538762092590332</v>
      </c>
      <c r="Q26">
        <v>0.1624319851398468</v>
      </c>
      <c r="R26">
        <v>1</v>
      </c>
      <c r="S26">
        <v>0</v>
      </c>
      <c r="T26">
        <f t="shared" si="0"/>
        <v>0.10839913637882531</v>
      </c>
    </row>
    <row r="27" spans="1:20" x14ac:dyDescent="0.3">
      <c r="A27" s="5" t="s">
        <v>23</v>
      </c>
      <c r="B27" s="5">
        <v>2</v>
      </c>
      <c r="C27" s="5">
        <v>2000</v>
      </c>
      <c r="D27" s="5">
        <v>1.6977332551522901E-2</v>
      </c>
      <c r="E27">
        <v>14.8433912347788</v>
      </c>
      <c r="F27">
        <v>5</v>
      </c>
      <c r="G27">
        <v>9.2009873416941694</v>
      </c>
      <c r="H27">
        <v>1.5402181148529099</v>
      </c>
      <c r="I27">
        <v>1.00555968284607</v>
      </c>
      <c r="J27">
        <v>0.48546415567398099</v>
      </c>
      <c r="K27">
        <v>1.4047327041626001</v>
      </c>
      <c r="L27">
        <v>1.2609233856201201</v>
      </c>
      <c r="M27">
        <v>0.88886898756027199</v>
      </c>
      <c r="N27">
        <v>0.3444238007068634</v>
      </c>
      <c r="O27">
        <v>0.50096035003662109</v>
      </c>
      <c r="P27">
        <v>-1.2538762092590332</v>
      </c>
      <c r="Q27">
        <v>0.1624319851398468</v>
      </c>
      <c r="R27">
        <v>1</v>
      </c>
      <c r="S27">
        <v>0</v>
      </c>
    </row>
    <row r="28" spans="1:20" x14ac:dyDescent="0.3">
      <c r="A28" s="5" t="s">
        <v>23</v>
      </c>
      <c r="B28" s="5">
        <v>2</v>
      </c>
      <c r="C28" s="5">
        <v>2001</v>
      </c>
      <c r="D28" s="5">
        <v>1.6625977367037699E-2</v>
      </c>
      <c r="E28">
        <v>11.891009856107599</v>
      </c>
      <c r="F28">
        <v>6.5</v>
      </c>
      <c r="G28">
        <v>6.1874073633820501</v>
      </c>
      <c r="H28">
        <v>1.5096917152404798</v>
      </c>
      <c r="I28">
        <v>1.042023301124575</v>
      </c>
      <c r="J28">
        <v>0.78713026642799544</v>
      </c>
      <c r="K28">
        <v>1.3616145253181451</v>
      </c>
      <c r="L28">
        <v>1.2590817213058501</v>
      </c>
      <c r="M28">
        <v>0.98802819848060597</v>
      </c>
      <c r="N28">
        <v>0.22648854553699493</v>
      </c>
      <c r="O28">
        <v>0.44537946581840515</v>
      </c>
      <c r="P28">
        <v>1.2737407684326172</v>
      </c>
      <c r="Q28">
        <v>0.7613646388053894</v>
      </c>
      <c r="R28">
        <v>1</v>
      </c>
      <c r="S28">
        <v>0</v>
      </c>
      <c r="T28">
        <f>((D28-D27)/D27)</f>
        <v>-2.0695547043029752E-2</v>
      </c>
    </row>
    <row r="29" spans="1:20" x14ac:dyDescent="0.3">
      <c r="A29" s="5" t="s">
        <v>23</v>
      </c>
      <c r="B29" s="5">
        <v>2</v>
      </c>
      <c r="C29" s="5">
        <v>2002</v>
      </c>
      <c r="D29" s="5">
        <v>1.7647717028302298E-2</v>
      </c>
      <c r="E29">
        <v>7.75807289652374</v>
      </c>
      <c r="F29">
        <v>3</v>
      </c>
      <c r="G29">
        <v>3.7996444195662198</v>
      </c>
      <c r="H29">
        <v>1.47916531562805</v>
      </c>
      <c r="I29">
        <v>1.0784869194030799</v>
      </c>
      <c r="J29">
        <v>1.0887963771820099</v>
      </c>
      <c r="K29">
        <v>1.3184963464736901</v>
      </c>
      <c r="L29">
        <v>1.25724005699158</v>
      </c>
      <c r="M29">
        <v>1.0871874094009399</v>
      </c>
      <c r="N29">
        <v>0.24990446865558624</v>
      </c>
      <c r="O29">
        <v>0.3878236711025238</v>
      </c>
      <c r="P29">
        <v>1.5255131721496582</v>
      </c>
      <c r="Q29">
        <v>0.82102346420288086</v>
      </c>
      <c r="R29">
        <v>1</v>
      </c>
      <c r="S29">
        <v>0</v>
      </c>
      <c r="T29">
        <f t="shared" si="0"/>
        <v>6.1454411894622092E-2</v>
      </c>
    </row>
    <row r="30" spans="1:20" x14ac:dyDescent="0.3">
      <c r="A30" s="5" t="s">
        <v>23</v>
      </c>
      <c r="B30" s="5">
        <v>2</v>
      </c>
      <c r="C30" s="5">
        <v>2003</v>
      </c>
      <c r="D30" s="5">
        <v>1.5426332926551101E-2</v>
      </c>
      <c r="E30">
        <v>6.1787787308609703</v>
      </c>
      <c r="F30">
        <v>2.25</v>
      </c>
      <c r="G30">
        <v>2.7337374864950501</v>
      </c>
      <c r="H30">
        <v>1.1671009063720701</v>
      </c>
      <c r="I30">
        <v>1.1002451181411701</v>
      </c>
      <c r="J30">
        <v>0.76161193847656194</v>
      </c>
      <c r="K30">
        <v>1.3334413766861</v>
      </c>
      <c r="L30">
        <v>1.1772108078002901</v>
      </c>
      <c r="M30">
        <v>1.05612015724182</v>
      </c>
      <c r="N30">
        <v>0.25464937090873718</v>
      </c>
      <c r="O30">
        <v>0.23288248479366302</v>
      </c>
      <c r="P30">
        <v>1.7772855758666992</v>
      </c>
      <c r="Q30">
        <v>0.88068228960037231</v>
      </c>
      <c r="R30">
        <v>1</v>
      </c>
      <c r="S30">
        <v>0</v>
      </c>
      <c r="T30">
        <f t="shared" si="0"/>
        <v>-0.12587373755986009</v>
      </c>
    </row>
    <row r="31" spans="1:20" x14ac:dyDescent="0.3">
      <c r="A31" s="5" t="s">
        <v>23</v>
      </c>
      <c r="B31" s="5">
        <v>2</v>
      </c>
      <c r="C31" s="5">
        <v>2004</v>
      </c>
      <c r="D31" s="5">
        <v>1.1708185297796899E-2</v>
      </c>
      <c r="E31">
        <v>5.12700362788107</v>
      </c>
      <c r="F31">
        <v>2.25</v>
      </c>
      <c r="G31">
        <v>1.9374453202539701</v>
      </c>
      <c r="H31">
        <v>1.30585932731628</v>
      </c>
      <c r="I31">
        <v>1.11775302886963</v>
      </c>
      <c r="J31">
        <v>0.69134169816970803</v>
      </c>
      <c r="K31">
        <v>1.3679841756820701</v>
      </c>
      <c r="L31">
        <v>1.1656967401504501</v>
      </c>
      <c r="M31">
        <v>1.2252850532531701</v>
      </c>
      <c r="N31">
        <v>0.26772820949554443</v>
      </c>
      <c r="O31">
        <v>0.13246451318264008</v>
      </c>
      <c r="P31">
        <v>2.0290579795837402</v>
      </c>
      <c r="Q31">
        <v>0.94034117460250854</v>
      </c>
      <c r="R31">
        <v>1</v>
      </c>
      <c r="S31">
        <v>0</v>
      </c>
      <c r="T31">
        <f t="shared" si="0"/>
        <v>-0.24102602001767348</v>
      </c>
    </row>
    <row r="32" spans="1:20" x14ac:dyDescent="0.3">
      <c r="A32" s="5" t="s">
        <v>23</v>
      </c>
      <c r="B32" s="5">
        <v>2</v>
      </c>
      <c r="C32" s="5">
        <v>2005</v>
      </c>
      <c r="D32" s="5">
        <v>1.1708185297796899E-2</v>
      </c>
      <c r="E32">
        <v>6.6778790098134504</v>
      </c>
      <c r="F32">
        <v>4.5</v>
      </c>
      <c r="G32">
        <v>3.9319133770227301</v>
      </c>
      <c r="H32">
        <v>1.4165275096893299</v>
      </c>
      <c r="I32">
        <v>1.1556099653244001</v>
      </c>
      <c r="J32">
        <v>0.84238362312316895</v>
      </c>
      <c r="K32">
        <v>1.3124647140502901</v>
      </c>
      <c r="L32">
        <v>1.21021103858948</v>
      </c>
      <c r="M32">
        <v>1.29252052307129</v>
      </c>
      <c r="N32">
        <v>0.3080747127532959</v>
      </c>
      <c r="O32">
        <v>2.2769579663872719E-2</v>
      </c>
      <c r="P32">
        <v>2.2808303833007813</v>
      </c>
      <c r="Q32">
        <v>1</v>
      </c>
      <c r="R32">
        <v>1</v>
      </c>
      <c r="S32">
        <v>0</v>
      </c>
      <c r="T32">
        <f t="shared" si="0"/>
        <v>0</v>
      </c>
    </row>
    <row r="33" spans="1:20" x14ac:dyDescent="0.3">
      <c r="A33" s="5" t="s">
        <v>23</v>
      </c>
      <c r="B33" s="5">
        <v>2</v>
      </c>
      <c r="C33" s="5">
        <v>2006</v>
      </c>
      <c r="D33" s="5">
        <v>1.1708185297796899E-2</v>
      </c>
      <c r="E33">
        <v>7.9994820785660501</v>
      </c>
      <c r="F33">
        <v>5.25</v>
      </c>
      <c r="G33">
        <v>5.1059338284331197</v>
      </c>
      <c r="H33">
        <v>1.4125618934631301</v>
      </c>
      <c r="I33">
        <v>0.93773818016052202</v>
      </c>
      <c r="J33">
        <v>0.61300587654113803</v>
      </c>
      <c r="K33">
        <v>1.42389464378357</v>
      </c>
      <c r="L33">
        <v>1.18129122257233</v>
      </c>
      <c r="M33">
        <v>1.0823447704315201</v>
      </c>
      <c r="N33">
        <v>0.35970064997673035</v>
      </c>
      <c r="O33">
        <v>0.32721683382987976</v>
      </c>
      <c r="P33">
        <v>2.2808303833007813</v>
      </c>
      <c r="Q33">
        <v>1</v>
      </c>
      <c r="R33">
        <v>1</v>
      </c>
      <c r="S33">
        <v>0</v>
      </c>
      <c r="T33">
        <f t="shared" si="0"/>
        <v>0</v>
      </c>
    </row>
    <row r="34" spans="1:20" x14ac:dyDescent="0.3">
      <c r="A34" s="5" t="s">
        <v>23</v>
      </c>
      <c r="B34" s="5">
        <v>2</v>
      </c>
      <c r="C34" s="5">
        <v>2007</v>
      </c>
      <c r="D34" s="5">
        <v>1.1708185297796899E-2</v>
      </c>
      <c r="E34">
        <v>8.6712584864477797</v>
      </c>
      <c r="F34">
        <v>6</v>
      </c>
      <c r="G34">
        <v>5.6102274253653004</v>
      </c>
      <c r="H34">
        <v>1.3451499938964799</v>
      </c>
      <c r="I34">
        <v>1.1867383718490601</v>
      </c>
      <c r="J34">
        <v>0.40637087821960399</v>
      </c>
      <c r="K34">
        <v>1.4855865240096999</v>
      </c>
      <c r="L34">
        <v>1.1951875686645499</v>
      </c>
      <c r="M34">
        <v>1.1048820018768299</v>
      </c>
      <c r="N34">
        <v>0.34787783026695251</v>
      </c>
      <c r="O34">
        <v>0.6307903528213501</v>
      </c>
      <c r="P34">
        <v>2.2808303833007813</v>
      </c>
      <c r="Q34">
        <v>1</v>
      </c>
      <c r="R34">
        <v>1</v>
      </c>
      <c r="S34">
        <v>0</v>
      </c>
      <c r="T34">
        <f t="shared" si="0"/>
        <v>0</v>
      </c>
    </row>
    <row r="35" spans="1:20" x14ac:dyDescent="0.3">
      <c r="A35" s="5" t="s">
        <v>23</v>
      </c>
      <c r="B35" s="5">
        <v>2</v>
      </c>
      <c r="C35" s="5">
        <v>2008</v>
      </c>
      <c r="D35" s="5">
        <v>1.1708185297796899E-2</v>
      </c>
      <c r="E35">
        <v>13.2617713664149</v>
      </c>
      <c r="F35">
        <v>8.25</v>
      </c>
      <c r="G35">
        <v>7.4891973991988197</v>
      </c>
      <c r="H35">
        <v>1.31798684597015</v>
      </c>
      <c r="I35">
        <v>1.0621422529220601</v>
      </c>
      <c r="J35">
        <v>0.43191295862197898</v>
      </c>
      <c r="K35">
        <v>1.50248491764069</v>
      </c>
      <c r="L35">
        <v>1.2103573083877599</v>
      </c>
      <c r="M35">
        <v>1.0135083198547401</v>
      </c>
      <c r="N35">
        <v>0.12403962016105652</v>
      </c>
      <c r="O35">
        <v>0.72572809457778931</v>
      </c>
      <c r="P35">
        <v>2.0290579795837402</v>
      </c>
      <c r="Q35">
        <v>0.94034117460250854</v>
      </c>
      <c r="R35">
        <v>1</v>
      </c>
      <c r="S35">
        <v>0</v>
      </c>
      <c r="T35">
        <f t="shared" si="0"/>
        <v>0</v>
      </c>
    </row>
    <row r="36" spans="1:20" x14ac:dyDescent="0.3">
      <c r="A36" s="5" t="s">
        <v>23</v>
      </c>
      <c r="B36" s="5">
        <v>2</v>
      </c>
      <c r="C36" s="5">
        <v>2009</v>
      </c>
      <c r="D36" s="5">
        <v>3.02355853046632E-2</v>
      </c>
      <c r="E36">
        <v>7.2506347688446198</v>
      </c>
      <c r="F36">
        <v>0.5</v>
      </c>
      <c r="G36">
        <v>2.0476066849978301</v>
      </c>
      <c r="H36">
        <v>1.32123482227325</v>
      </c>
      <c r="I36">
        <v>1.1375715732574501</v>
      </c>
      <c r="J36">
        <v>0.60258442163467396</v>
      </c>
      <c r="K36">
        <v>1.4273992776870701</v>
      </c>
      <c r="L36">
        <v>1.1940904855728101</v>
      </c>
      <c r="M36">
        <v>1.01689624786377</v>
      </c>
      <c r="N36">
        <v>0.23920024931430817</v>
      </c>
      <c r="O36">
        <v>0.50281387567520142</v>
      </c>
      <c r="P36">
        <v>1.7772855758666992</v>
      </c>
      <c r="Q36">
        <v>0.88068228960037231</v>
      </c>
      <c r="R36">
        <v>1</v>
      </c>
      <c r="S36">
        <v>0</v>
      </c>
      <c r="T36">
        <f t="shared" si="0"/>
        <v>1.5824313961235781</v>
      </c>
    </row>
    <row r="37" spans="1:20" x14ac:dyDescent="0.3">
      <c r="A37" s="5" t="s">
        <v>23</v>
      </c>
      <c r="B37" s="5">
        <v>2</v>
      </c>
      <c r="C37" s="5">
        <v>2010</v>
      </c>
      <c r="D37" s="5">
        <v>2.8714386491811301E-2</v>
      </c>
      <c r="E37">
        <v>4.7548268051870197</v>
      </c>
      <c r="F37">
        <v>3.25</v>
      </c>
      <c r="G37">
        <v>1.75118738241494</v>
      </c>
      <c r="H37">
        <v>1.4416269063949601</v>
      </c>
      <c r="I37">
        <v>1.1572418212890601</v>
      </c>
      <c r="J37">
        <v>0.67960453033447299</v>
      </c>
      <c r="K37">
        <v>1.41517114639282</v>
      </c>
      <c r="L37">
        <v>1.2254157066345199</v>
      </c>
      <c r="M37">
        <v>1.0956462621688801</v>
      </c>
      <c r="N37">
        <v>0.2664024829864502</v>
      </c>
      <c r="O37">
        <v>0.52451270818710327</v>
      </c>
      <c r="P37">
        <v>1.5255131721496582</v>
      </c>
      <c r="Q37">
        <v>0.82102346420288086</v>
      </c>
      <c r="R37">
        <v>1</v>
      </c>
      <c r="S37">
        <v>0</v>
      </c>
      <c r="T37">
        <f t="shared" si="0"/>
        <v>-5.0311538457874193E-2</v>
      </c>
    </row>
    <row r="38" spans="1:20" x14ac:dyDescent="0.3">
      <c r="A38" s="5" t="s">
        <v>23</v>
      </c>
      <c r="B38" s="5">
        <v>2</v>
      </c>
      <c r="C38" s="5">
        <v>2011</v>
      </c>
      <c r="D38" s="5">
        <v>2.82109379327787E-2</v>
      </c>
      <c r="E38">
        <v>9.0301525226942907</v>
      </c>
      <c r="F38">
        <v>5.25</v>
      </c>
      <c r="G38">
        <v>5.2868383140912201</v>
      </c>
      <c r="H38">
        <v>1.4765926599502599</v>
      </c>
      <c r="I38">
        <v>1.15227234363556</v>
      </c>
      <c r="J38">
        <v>0.452553361654282</v>
      </c>
      <c r="K38">
        <v>1.44053530693054</v>
      </c>
      <c r="L38">
        <v>1.26333856582642</v>
      </c>
      <c r="M38">
        <v>1.07390916347504</v>
      </c>
      <c r="N38">
        <v>0.18847960233688354</v>
      </c>
      <c r="O38">
        <v>0.61431926488876343</v>
      </c>
      <c r="P38">
        <v>1.2737407684326172</v>
      </c>
      <c r="Q38">
        <v>0.7613646388053894</v>
      </c>
      <c r="R38">
        <v>1</v>
      </c>
      <c r="S38">
        <v>0</v>
      </c>
      <c r="T38">
        <f t="shared" si="0"/>
        <v>-1.7532972859307782E-2</v>
      </c>
    </row>
    <row r="39" spans="1:20" x14ac:dyDescent="0.3">
      <c r="A39" s="5" t="s">
        <v>23</v>
      </c>
      <c r="B39" s="5">
        <v>2</v>
      </c>
      <c r="C39" s="5">
        <v>2012</v>
      </c>
      <c r="D39" s="5">
        <v>2.69750395725642E-2</v>
      </c>
      <c r="E39">
        <v>10.0572624433615</v>
      </c>
      <c r="F39">
        <v>5</v>
      </c>
      <c r="G39">
        <v>5.7882176894115096</v>
      </c>
      <c r="H39">
        <v>1.54359126091003</v>
      </c>
      <c r="I39">
        <v>1.17844355106354</v>
      </c>
      <c r="J39">
        <v>0.33110210299491899</v>
      </c>
      <c r="K39">
        <v>1.5361981391906701</v>
      </c>
      <c r="L39">
        <v>1.2876567840576201</v>
      </c>
      <c r="M39">
        <v>1.0769451856613199</v>
      </c>
      <c r="N39">
        <v>0.22024816274642944</v>
      </c>
      <c r="O39">
        <v>0.61966872215270996</v>
      </c>
      <c r="P39">
        <v>1.0219684839248657</v>
      </c>
      <c r="Q39">
        <v>0.70170581340789795</v>
      </c>
      <c r="R39">
        <v>1</v>
      </c>
      <c r="S39">
        <v>0</v>
      </c>
      <c r="T39">
        <f t="shared" si="0"/>
        <v>-4.3809190717423521E-2</v>
      </c>
    </row>
    <row r="40" spans="1:20" x14ac:dyDescent="0.3">
      <c r="A40" s="5" t="s">
        <v>23</v>
      </c>
      <c r="B40" s="5">
        <v>2</v>
      </c>
      <c r="C40" s="5">
        <v>2013</v>
      </c>
      <c r="D40" s="5">
        <v>2.5634254430111102E-2</v>
      </c>
      <c r="E40">
        <v>9.2618767819209999</v>
      </c>
      <c r="F40">
        <v>4.5</v>
      </c>
      <c r="G40">
        <v>5.1688681547642101</v>
      </c>
      <c r="H40">
        <v>1.49892818927765</v>
      </c>
      <c r="I40">
        <v>1.15803158283234</v>
      </c>
      <c r="J40">
        <v>0.36374253034591703</v>
      </c>
      <c r="K40">
        <v>1.48287189006805</v>
      </c>
      <c r="L40">
        <v>1.25513780117035</v>
      </c>
      <c r="M40">
        <v>1.1062861680984499</v>
      </c>
      <c r="N40">
        <v>0.34165433049201965</v>
      </c>
      <c r="O40">
        <v>0.57401174306869507</v>
      </c>
      <c r="P40">
        <v>1.0219684839248657</v>
      </c>
      <c r="Q40">
        <v>0.70170581340789795</v>
      </c>
      <c r="R40">
        <v>1</v>
      </c>
      <c r="S40">
        <v>0</v>
      </c>
      <c r="T40">
        <f t="shared" si="0"/>
        <v>-4.9704658962457487E-2</v>
      </c>
    </row>
    <row r="41" spans="1:20" x14ac:dyDescent="0.3">
      <c r="A41" s="5" t="s">
        <v>23</v>
      </c>
      <c r="B41" s="5">
        <v>2</v>
      </c>
      <c r="C41" s="5">
        <v>2014</v>
      </c>
      <c r="D41" s="5">
        <v>2.3352010317981099E-2</v>
      </c>
      <c r="E41">
        <v>8.0980582483901102</v>
      </c>
      <c r="F41">
        <v>3</v>
      </c>
      <c r="G41">
        <v>3.91910517520434</v>
      </c>
      <c r="H41">
        <v>1.44073414802551</v>
      </c>
      <c r="I41">
        <v>1.0350749492645299</v>
      </c>
      <c r="J41">
        <v>0.44751691818237299</v>
      </c>
      <c r="K41">
        <v>1.4845895767211901</v>
      </c>
      <c r="L41">
        <v>1.3487036228179901</v>
      </c>
      <c r="M41">
        <v>1.05589711666107</v>
      </c>
      <c r="N41">
        <v>0.26585114002227783</v>
      </c>
      <c r="O41">
        <v>0.42826554179191589</v>
      </c>
      <c r="P41">
        <v>1.0219684839248657</v>
      </c>
      <c r="Q41">
        <v>0.70170581340789795</v>
      </c>
      <c r="R41">
        <v>1</v>
      </c>
      <c r="S41">
        <v>0</v>
      </c>
      <c r="T41">
        <f t="shared" si="0"/>
        <v>-8.9031031440851269E-2</v>
      </c>
    </row>
    <row r="42" spans="1:20" x14ac:dyDescent="0.3">
      <c r="A42" s="5" t="s">
        <v>23</v>
      </c>
      <c r="B42" s="5">
        <v>2</v>
      </c>
      <c r="C42" s="5">
        <v>2015</v>
      </c>
      <c r="D42" s="5">
        <v>2.4331668079411499E-2</v>
      </c>
      <c r="E42">
        <v>5.5149273229140201</v>
      </c>
      <c r="F42">
        <v>3.5</v>
      </c>
      <c r="G42">
        <v>3.6085440453713602</v>
      </c>
      <c r="H42">
        <v>1.18245732784271</v>
      </c>
      <c r="I42">
        <v>0.91883558034896895</v>
      </c>
      <c r="J42">
        <v>0.42487174272537198</v>
      </c>
      <c r="K42">
        <v>1.3198426961898799</v>
      </c>
      <c r="L42">
        <v>1.2197290658950799</v>
      </c>
      <c r="M42">
        <v>1.00456619262695</v>
      </c>
      <c r="N42">
        <v>0.27715024352073669</v>
      </c>
      <c r="O42">
        <v>0.64396971464157104</v>
      </c>
      <c r="P42">
        <v>1.0219684839248657</v>
      </c>
      <c r="Q42">
        <v>0.70170581340789795</v>
      </c>
      <c r="R42">
        <v>1</v>
      </c>
      <c r="S42">
        <v>0</v>
      </c>
      <c r="T42">
        <f t="shared" si="0"/>
        <v>4.1951752679556718E-2</v>
      </c>
    </row>
    <row r="43" spans="1:20" x14ac:dyDescent="0.3">
      <c r="A43" s="5" t="s">
        <v>23</v>
      </c>
      <c r="B43" s="5">
        <v>2</v>
      </c>
      <c r="C43" s="5">
        <v>2016</v>
      </c>
      <c r="D43" s="5">
        <v>2.5888286466584601E-2</v>
      </c>
      <c r="E43">
        <v>5.5883965772520598</v>
      </c>
      <c r="F43">
        <v>3.5</v>
      </c>
      <c r="G43">
        <v>3.8151647283311099</v>
      </c>
      <c r="H43">
        <v>1.02276110649109</v>
      </c>
      <c r="I43">
        <v>0.83384376764297496</v>
      </c>
      <c r="J43">
        <v>0.402406215667725</v>
      </c>
      <c r="K43">
        <v>1.36390829086304</v>
      </c>
      <c r="L43">
        <v>0.96039354801178001</v>
      </c>
      <c r="M43">
        <v>0.99581956863403298</v>
      </c>
      <c r="N43">
        <v>0.28235802054405212</v>
      </c>
      <c r="O43">
        <v>0.68536484241485596</v>
      </c>
      <c r="P43">
        <v>1.0219684839248657</v>
      </c>
      <c r="Q43">
        <v>0.70170581340789795</v>
      </c>
      <c r="R43">
        <v>1</v>
      </c>
      <c r="S43">
        <v>0</v>
      </c>
      <c r="T43">
        <f t="shared" si="0"/>
        <v>6.3974996785783514E-2</v>
      </c>
    </row>
    <row r="44" spans="1:20" x14ac:dyDescent="0.3">
      <c r="A44" s="5" t="s">
        <v>23</v>
      </c>
      <c r="B44" s="5">
        <v>2</v>
      </c>
      <c r="C44" s="5">
        <v>2017</v>
      </c>
      <c r="D44" s="5">
        <v>2.4095863519269501E-2</v>
      </c>
      <c r="E44">
        <v>4.5528550788907198</v>
      </c>
      <c r="F44">
        <v>2.5</v>
      </c>
      <c r="G44">
        <v>2.9392508402643198</v>
      </c>
      <c r="H44">
        <v>1.0016558170318599</v>
      </c>
      <c r="I44">
        <v>0.80945563316345204</v>
      </c>
      <c r="J44">
        <v>0.40628159046173101</v>
      </c>
      <c r="K44">
        <v>1.3254991769790601</v>
      </c>
      <c r="L44">
        <v>0.98147547245025601</v>
      </c>
      <c r="M44">
        <v>1.0005812644958501</v>
      </c>
      <c r="N44">
        <v>0.31197923421859741</v>
      </c>
      <c r="O44">
        <v>0.68318343162536621</v>
      </c>
      <c r="P44">
        <v>1.0219684839248657</v>
      </c>
      <c r="Q44">
        <v>0.70170581340789795</v>
      </c>
      <c r="R44">
        <v>1</v>
      </c>
      <c r="S44">
        <v>0</v>
      </c>
      <c r="T44">
        <f t="shared" si="0"/>
        <v>-6.9236832249545605E-2</v>
      </c>
    </row>
    <row r="45" spans="1:20" x14ac:dyDescent="0.3">
      <c r="A45" s="5" t="s">
        <v>23</v>
      </c>
      <c r="B45" s="5">
        <v>2</v>
      </c>
      <c r="C45" s="5">
        <v>2018</v>
      </c>
      <c r="D45" s="5">
        <v>2.3611649160140202E-2</v>
      </c>
      <c r="E45">
        <v>4.1780192502556002</v>
      </c>
      <c r="F45">
        <v>2.75</v>
      </c>
      <c r="G45">
        <v>2.7029640752825501</v>
      </c>
      <c r="H45">
        <v>0.95820248126983598</v>
      </c>
      <c r="I45">
        <v>0.90717846155166604</v>
      </c>
      <c r="J45">
        <v>0.412769764661789</v>
      </c>
      <c r="K45">
        <v>1.3004523515701301</v>
      </c>
      <c r="L45">
        <v>0.940260529518127</v>
      </c>
      <c r="M45">
        <v>1.02594089508057</v>
      </c>
      <c r="N45">
        <v>0.23720620572566986</v>
      </c>
      <c r="O45">
        <v>0.37454909086227417</v>
      </c>
      <c r="P45">
        <v>1.0219684839248657</v>
      </c>
      <c r="Q45">
        <v>0.70170581340789795</v>
      </c>
      <c r="R45">
        <v>1</v>
      </c>
      <c r="S45">
        <v>0</v>
      </c>
      <c r="T45">
        <f t="shared" si="0"/>
        <v>-2.0095331248123662E-2</v>
      </c>
    </row>
    <row r="46" spans="1:20" x14ac:dyDescent="0.3">
      <c r="A46" s="5" t="s">
        <v>23</v>
      </c>
      <c r="B46" s="5">
        <v>2</v>
      </c>
      <c r="C46" s="5">
        <v>2019</v>
      </c>
      <c r="D46" s="5">
        <v>2.4928672664289601E-2</v>
      </c>
      <c r="E46" s="2">
        <v>5.85</v>
      </c>
      <c r="F46">
        <v>1.75</v>
      </c>
      <c r="G46">
        <v>2.5346241379289101</v>
      </c>
      <c r="H46">
        <v>0.97893089056015004</v>
      </c>
      <c r="I46">
        <v>0.86349862813949596</v>
      </c>
      <c r="J46">
        <v>-1.61215793341398E-2</v>
      </c>
      <c r="K46">
        <v>1.1584931612014799</v>
      </c>
      <c r="L46">
        <v>0.924216628074646</v>
      </c>
      <c r="M46">
        <v>0.98148560523986805</v>
      </c>
      <c r="N46">
        <v>0.18471980094909668</v>
      </c>
      <c r="O46">
        <v>6.0328263789415359E-2</v>
      </c>
      <c r="P46">
        <v>1.0219684839248657</v>
      </c>
      <c r="Q46">
        <v>0.70170581340789795</v>
      </c>
      <c r="R46">
        <v>1</v>
      </c>
      <c r="S46">
        <v>0</v>
      </c>
      <c r="T46">
        <f t="shared" si="0"/>
        <v>5.5778547920012356E-2</v>
      </c>
    </row>
    <row r="47" spans="1:20" x14ac:dyDescent="0.3">
      <c r="A47" s="5" t="s">
        <v>23</v>
      </c>
      <c r="B47" s="5">
        <v>2</v>
      </c>
      <c r="C47" s="5">
        <v>2020</v>
      </c>
      <c r="D47" s="5">
        <v>2.6057673958963402E-2</v>
      </c>
      <c r="E47" s="2">
        <v>4.78</v>
      </c>
      <c r="F47">
        <v>0.5</v>
      </c>
      <c r="G47">
        <v>0.85734337047201203</v>
      </c>
      <c r="H47">
        <v>1.1061371564865099</v>
      </c>
      <c r="I47">
        <v>0.70504468679428101</v>
      </c>
      <c r="J47">
        <v>4.4044505804777097E-2</v>
      </c>
      <c r="K47">
        <v>0.94864773750305198</v>
      </c>
      <c r="L47">
        <v>0.93016213178634599</v>
      </c>
      <c r="M47">
        <v>0.99194073677062999</v>
      </c>
      <c r="N47">
        <v>0.19904789328575134</v>
      </c>
      <c r="O47">
        <v>2.7361586689949036E-2</v>
      </c>
      <c r="P47">
        <v>1.0219684839248657</v>
      </c>
      <c r="Q47">
        <v>0.70170581340789795</v>
      </c>
      <c r="R47">
        <v>1</v>
      </c>
      <c r="S47">
        <v>0</v>
      </c>
      <c r="T47">
        <f t="shared" si="0"/>
        <v>4.5289266294996043E-2</v>
      </c>
    </row>
    <row r="48" spans="1:20" x14ac:dyDescent="0.3">
      <c r="A48" s="5" t="s">
        <v>23</v>
      </c>
      <c r="B48" s="5">
        <v>2</v>
      </c>
      <c r="C48" s="5">
        <v>2021</v>
      </c>
      <c r="D48" s="5">
        <v>2.1084550096378499E-2</v>
      </c>
      <c r="E48" s="2">
        <v>6.32</v>
      </c>
      <c r="F48">
        <v>4</v>
      </c>
      <c r="G48">
        <v>1.2768214258256401</v>
      </c>
      <c r="H48">
        <v>0.95626688003539995</v>
      </c>
      <c r="I48">
        <v>0.59029406309127797</v>
      </c>
      <c r="J48">
        <v>0.16142718493938399</v>
      </c>
      <c r="K48">
        <v>0.93624025583267201</v>
      </c>
      <c r="L48">
        <v>0.88989067077636697</v>
      </c>
      <c r="M48">
        <v>0.957422435283661</v>
      </c>
      <c r="N48">
        <v>0.24306223094463347</v>
      </c>
      <c r="O48">
        <v>0.36615744307637216</v>
      </c>
      <c r="P48">
        <v>1.0219684839248657</v>
      </c>
      <c r="Q48">
        <v>0.70170581340789795</v>
      </c>
      <c r="R48">
        <v>1</v>
      </c>
      <c r="S48">
        <v>0</v>
      </c>
      <c r="T48">
        <f t="shared" si="0"/>
        <v>-0.19085064424463838</v>
      </c>
    </row>
    <row r="49" spans="1:20" x14ac:dyDescent="0.3">
      <c r="A49" s="5" t="s">
        <v>23</v>
      </c>
      <c r="B49" s="5">
        <v>2</v>
      </c>
      <c r="C49" s="5">
        <v>2022</v>
      </c>
      <c r="D49" s="5">
        <v>2.82751450622328E-2</v>
      </c>
      <c r="E49" s="2">
        <v>13.65</v>
      </c>
      <c r="F49">
        <v>11.25</v>
      </c>
      <c r="G49">
        <v>8.9860019277846597</v>
      </c>
      <c r="H49">
        <v>0.96812403202056896</v>
      </c>
      <c r="I49">
        <v>0.54621827602386497</v>
      </c>
      <c r="J49">
        <v>0.13208432495594</v>
      </c>
      <c r="K49">
        <v>0.97841113805770896</v>
      </c>
      <c r="L49">
        <v>0.688454449176788</v>
      </c>
      <c r="M49">
        <v>0.97676938772201505</v>
      </c>
      <c r="N49">
        <v>0.23520307302474977</v>
      </c>
      <c r="O49">
        <v>0.30231596320867538</v>
      </c>
      <c r="P49">
        <v>1.0219684839248657</v>
      </c>
      <c r="Q49">
        <v>0.70170581340789795</v>
      </c>
      <c r="R49">
        <v>1</v>
      </c>
      <c r="S49">
        <v>0</v>
      </c>
      <c r="T49">
        <f t="shared" si="0"/>
        <v>0.34103620579930533</v>
      </c>
    </row>
    <row r="50" spans="1:20" x14ac:dyDescent="0.3">
      <c r="A50" s="5" t="s">
        <v>23</v>
      </c>
      <c r="B50" s="5">
        <v>2</v>
      </c>
      <c r="C50" s="5">
        <v>2023</v>
      </c>
      <c r="D50" s="5">
        <v>2.8930604274353799E-2</v>
      </c>
      <c r="E50" s="2">
        <v>14.8</v>
      </c>
      <c r="F50">
        <v>8.25</v>
      </c>
      <c r="G50">
        <v>10.407839668049499</v>
      </c>
      <c r="H50">
        <v>0.96860378980636597</v>
      </c>
      <c r="I50">
        <v>0.71755576133728005</v>
      </c>
      <c r="J50">
        <v>0.13615994155406999</v>
      </c>
      <c r="K50">
        <v>0.92573171854019198</v>
      </c>
      <c r="L50">
        <v>0.62509375810623202</v>
      </c>
      <c r="M50">
        <v>1.01794922351837</v>
      </c>
      <c r="N50">
        <v>0.21984784078598024</v>
      </c>
      <c r="O50">
        <v>0.2261424695253372</v>
      </c>
      <c r="P50">
        <v>1.0219684839248657</v>
      </c>
      <c r="Q50">
        <v>0.70170581340789795</v>
      </c>
      <c r="R50">
        <v>1</v>
      </c>
      <c r="S50">
        <v>0</v>
      </c>
      <c r="T50">
        <f t="shared" si="0"/>
        <v>2.3181462400222921E-2</v>
      </c>
    </row>
    <row r="51" spans="1:20" x14ac:dyDescent="0.3">
      <c r="A51" s="5" t="s">
        <v>23</v>
      </c>
      <c r="B51" s="5">
        <v>2</v>
      </c>
      <c r="C51" s="5">
        <v>2024</v>
      </c>
      <c r="D51" s="5">
        <v>3.0321030544231301E-2</v>
      </c>
      <c r="E51" s="2">
        <v>9.4</v>
      </c>
      <c r="F51">
        <v>5</v>
      </c>
      <c r="G51">
        <v>6.06988448817334</v>
      </c>
      <c r="H51">
        <v>0.99561254978179892</v>
      </c>
      <c r="I51">
        <v>0.68452228307723995</v>
      </c>
      <c r="J51">
        <v>9.1518875584006246E-2</v>
      </c>
      <c r="K51">
        <v>0.98950480222702097</v>
      </c>
      <c r="L51">
        <v>0.81156352758407579</v>
      </c>
      <c r="M51">
        <v>0.98511347770690882</v>
      </c>
      <c r="N51">
        <v>0.21637616779804231</v>
      </c>
      <c r="O51">
        <v>0.19646114525794983</v>
      </c>
      <c r="P51">
        <v>1.0219684839248657</v>
      </c>
      <c r="Q51">
        <v>0.70170581340789795</v>
      </c>
      <c r="R51">
        <v>1</v>
      </c>
      <c r="S51">
        <v>0</v>
      </c>
      <c r="T51">
        <f t="shared" si="0"/>
        <v>4.8060740684565575E-2</v>
      </c>
    </row>
    <row r="52" spans="1:20" x14ac:dyDescent="0.3">
      <c r="A52" s="5" t="s">
        <v>22</v>
      </c>
      <c r="B52" s="5">
        <v>3</v>
      </c>
      <c r="C52" s="5">
        <v>2000</v>
      </c>
      <c r="D52" s="5">
        <v>1.61213693911831</v>
      </c>
      <c r="E52">
        <v>18.786666666666601</v>
      </c>
      <c r="F52">
        <v>12</v>
      </c>
      <c r="G52">
        <v>12.146666666666601</v>
      </c>
      <c r="H52">
        <v>-0.406262516975403</v>
      </c>
      <c r="I52">
        <v>-0.40307581424713101</v>
      </c>
      <c r="J52">
        <v>-1.6089607477188099</v>
      </c>
      <c r="K52">
        <v>9.1514855623245198E-2</v>
      </c>
      <c r="L52">
        <v>-0.92503792047500599</v>
      </c>
      <c r="M52">
        <v>-0.438140958547592</v>
      </c>
      <c r="N52">
        <v>0.313821941614151</v>
      </c>
      <c r="O52">
        <v>0.33921918272972107</v>
      </c>
      <c r="P52">
        <v>-1.2538762092590332</v>
      </c>
      <c r="Q52">
        <v>0.1624319851398468</v>
      </c>
      <c r="R52">
        <v>1</v>
      </c>
      <c r="S52">
        <v>0</v>
      </c>
    </row>
    <row r="53" spans="1:20" x14ac:dyDescent="0.3">
      <c r="A53" s="5" t="s">
        <v>22</v>
      </c>
      <c r="B53" s="5">
        <v>3</v>
      </c>
      <c r="C53" s="5">
        <v>2001</v>
      </c>
      <c r="D53" s="5">
        <v>2.09403813220323</v>
      </c>
      <c r="E53">
        <v>20.72</v>
      </c>
      <c r="F53">
        <v>8.5</v>
      </c>
      <c r="G53">
        <v>12.435</v>
      </c>
      <c r="H53">
        <v>-0.33529658615589153</v>
      </c>
      <c r="I53">
        <v>-0.44549170136451699</v>
      </c>
      <c r="J53">
        <v>-1.7828375697135899</v>
      </c>
      <c r="K53">
        <v>3.412588499486445E-2</v>
      </c>
      <c r="L53">
        <v>-0.837055504322052</v>
      </c>
      <c r="M53">
        <v>-0.42724922299385049</v>
      </c>
      <c r="N53">
        <v>0.45465326309204102</v>
      </c>
      <c r="O53">
        <v>0.14248324930667877</v>
      </c>
      <c r="P53">
        <v>-1.2538762092590332</v>
      </c>
      <c r="Q53">
        <v>0.1624319851398468</v>
      </c>
      <c r="R53">
        <v>1</v>
      </c>
      <c r="S53">
        <v>0</v>
      </c>
      <c r="T53">
        <f>((D53-D52)/D52)</f>
        <v>0.29892075629039022</v>
      </c>
    </row>
    <row r="54" spans="1:20" x14ac:dyDescent="0.3">
      <c r="A54" s="5" t="s">
        <v>22</v>
      </c>
      <c r="B54" s="5">
        <v>3</v>
      </c>
      <c r="C54" s="5">
        <v>2002</v>
      </c>
      <c r="D54" s="5">
        <v>2.5319536641459601</v>
      </c>
      <c r="E54">
        <v>16.326798330828701</v>
      </c>
      <c r="F54">
        <v>5.25</v>
      </c>
      <c r="G54">
        <v>8.9383333333333308</v>
      </c>
      <c r="H54">
        <v>-0.26433065533638</v>
      </c>
      <c r="I54">
        <v>-0.48790758848190302</v>
      </c>
      <c r="J54">
        <v>-1.95671439170837</v>
      </c>
      <c r="K54">
        <v>-2.3263085633516301E-2</v>
      </c>
      <c r="L54">
        <v>-0.74907308816909801</v>
      </c>
      <c r="M54">
        <v>-0.41635748744010898</v>
      </c>
      <c r="N54">
        <v>0.24202600121498108</v>
      </c>
      <c r="O54">
        <v>0.41423347592353821</v>
      </c>
      <c r="P54">
        <v>-1.2538762092590332</v>
      </c>
      <c r="Q54">
        <v>0.1624319851398468</v>
      </c>
      <c r="R54">
        <v>1</v>
      </c>
      <c r="S54">
        <v>0</v>
      </c>
      <c r="T54">
        <f t="shared" ref="T54:T76" si="1">((D54-D53)/D53)</f>
        <v>0.20912490809419018</v>
      </c>
    </row>
    <row r="55" spans="1:20" x14ac:dyDescent="0.3">
      <c r="A55" s="5" t="s">
        <v>22</v>
      </c>
      <c r="B55" s="5">
        <v>3</v>
      </c>
      <c r="C55" s="5">
        <v>2003</v>
      </c>
      <c r="D55" s="5">
        <v>3.2500603824913101</v>
      </c>
      <c r="E55">
        <v>15.187101145087899</v>
      </c>
      <c r="F55">
        <v>7.25</v>
      </c>
      <c r="G55">
        <v>7.8033333333333301</v>
      </c>
      <c r="H55">
        <v>-0.20428630709648099</v>
      </c>
      <c r="I55">
        <v>-0.221860736608505</v>
      </c>
      <c r="J55">
        <v>-2.37602686882019</v>
      </c>
      <c r="K55">
        <v>-0.12651868164539301</v>
      </c>
      <c r="L55">
        <v>-0.73911756277084395</v>
      </c>
      <c r="M55">
        <v>-0.42924246191978499</v>
      </c>
      <c r="N55">
        <v>0.38080140948295593</v>
      </c>
      <c r="O55">
        <v>0.64344334602355957</v>
      </c>
      <c r="P55">
        <v>-1.2538762092590332</v>
      </c>
      <c r="Q55">
        <v>0.1624319851398468</v>
      </c>
      <c r="R55">
        <v>1</v>
      </c>
      <c r="S55">
        <v>0</v>
      </c>
      <c r="T55">
        <f t="shared" si="1"/>
        <v>0.28361763823492825</v>
      </c>
    </row>
    <row r="56" spans="1:20" x14ac:dyDescent="0.3">
      <c r="A56" s="5" t="s">
        <v>22</v>
      </c>
      <c r="B56" s="5">
        <v>3</v>
      </c>
      <c r="C56" s="5">
        <v>2004</v>
      </c>
      <c r="D56" s="5">
        <v>2.7240960044489899</v>
      </c>
      <c r="E56">
        <v>15.083056716888301</v>
      </c>
      <c r="F56">
        <v>6.5</v>
      </c>
      <c r="G56">
        <v>7.7983333333333302</v>
      </c>
      <c r="H56">
        <v>-0.14063145220279699</v>
      </c>
      <c r="I56">
        <v>-0.215896517038345</v>
      </c>
      <c r="J56">
        <v>-2.2712264060974099</v>
      </c>
      <c r="K56">
        <v>-8.6416333913803101E-2</v>
      </c>
      <c r="L56">
        <v>-0.69520014524459794</v>
      </c>
      <c r="M56">
        <v>-0.318785130977631</v>
      </c>
      <c r="N56">
        <v>0.34002453088760376</v>
      </c>
      <c r="O56">
        <v>0.84134906530380249</v>
      </c>
      <c r="P56">
        <v>-0.17476625740528107</v>
      </c>
      <c r="Q56">
        <v>0.4181329607963562</v>
      </c>
      <c r="R56">
        <v>1</v>
      </c>
      <c r="S56">
        <v>0</v>
      </c>
      <c r="T56">
        <f t="shared" si="1"/>
        <v>-0.16183218652668419</v>
      </c>
    </row>
    <row r="57" spans="1:20" x14ac:dyDescent="0.3">
      <c r="A57" s="5" t="s">
        <v>22</v>
      </c>
      <c r="B57" s="5">
        <v>3</v>
      </c>
      <c r="C57" s="5">
        <v>2005</v>
      </c>
      <c r="D57" s="5">
        <v>2.2978009286544698</v>
      </c>
      <c r="E57">
        <v>14.560833333333299</v>
      </c>
      <c r="F57">
        <v>6</v>
      </c>
      <c r="G57">
        <v>7.0142702289010499</v>
      </c>
      <c r="H57">
        <v>-0.14538939297199199</v>
      </c>
      <c r="I57">
        <v>-0.197672158479691</v>
      </c>
      <c r="J57">
        <v>-2.0579428672790501</v>
      </c>
      <c r="K57">
        <v>-1.6363758593797701E-2</v>
      </c>
      <c r="L57">
        <v>-0.63308185338973999</v>
      </c>
      <c r="M57">
        <v>-0.32252135872840898</v>
      </c>
      <c r="N57">
        <v>0.47702571749687195</v>
      </c>
      <c r="O57">
        <v>0.57924032211303711</v>
      </c>
      <c r="P57">
        <v>-0.17476625740528107</v>
      </c>
      <c r="Q57">
        <v>0.4181329607963562</v>
      </c>
      <c r="R57">
        <v>1</v>
      </c>
      <c r="S57">
        <v>0</v>
      </c>
      <c r="T57">
        <f t="shared" si="1"/>
        <v>-0.15649047430718138</v>
      </c>
    </row>
    <row r="58" spans="1:20" x14ac:dyDescent="0.3">
      <c r="A58" s="5" t="s">
        <v>22</v>
      </c>
      <c r="B58" s="5">
        <v>3</v>
      </c>
      <c r="C58" s="5">
        <v>2006</v>
      </c>
      <c r="D58" s="5">
        <v>2.4099688520038201</v>
      </c>
      <c r="E58">
        <v>12.893913084832</v>
      </c>
      <c r="F58">
        <v>7.5</v>
      </c>
      <c r="G58">
        <v>6.2752115988305102</v>
      </c>
      <c r="H58">
        <v>-0.17513778805732699</v>
      </c>
      <c r="I58">
        <v>-0.19151610136032099</v>
      </c>
      <c r="J58">
        <v>-1.90479671955109</v>
      </c>
      <c r="K58">
        <v>0.106225542724133</v>
      </c>
      <c r="L58">
        <v>-0.50838792324066195</v>
      </c>
      <c r="M58">
        <v>-0.17273671925067899</v>
      </c>
      <c r="N58">
        <v>0.20288127660751343</v>
      </c>
      <c r="O58">
        <v>0.60924673080444336</v>
      </c>
      <c r="P58">
        <v>-0.17476625740528107</v>
      </c>
      <c r="Q58">
        <v>0.4181329607963562</v>
      </c>
      <c r="R58">
        <v>1</v>
      </c>
      <c r="S58">
        <v>0</v>
      </c>
      <c r="T58">
        <f t="shared" si="1"/>
        <v>4.8815335545639597E-2</v>
      </c>
    </row>
    <row r="59" spans="1:20" x14ac:dyDescent="0.3">
      <c r="A59" s="5" t="s">
        <v>22</v>
      </c>
      <c r="B59" s="5">
        <v>3</v>
      </c>
      <c r="C59" s="5">
        <v>2007</v>
      </c>
      <c r="D59" s="5">
        <v>2.1627330675381198</v>
      </c>
      <c r="E59">
        <v>15.381850101101501</v>
      </c>
      <c r="F59">
        <v>9.5</v>
      </c>
      <c r="G59">
        <v>8.0139120510127295</v>
      </c>
      <c r="H59">
        <v>-0.27916035056114202</v>
      </c>
      <c r="I59">
        <v>-5.0221379846334499E-2</v>
      </c>
      <c r="J59">
        <v>-1.8065272569656401</v>
      </c>
      <c r="K59">
        <v>0.28426253795623802</v>
      </c>
      <c r="L59">
        <v>-0.43298038840293901</v>
      </c>
      <c r="M59">
        <v>-0.16532160341739699</v>
      </c>
      <c r="N59">
        <v>0.16902238130569458</v>
      </c>
      <c r="O59">
        <v>0.52521812915802002</v>
      </c>
      <c r="P59">
        <v>-0.17476625740528107</v>
      </c>
      <c r="Q59">
        <v>0.4181329607963562</v>
      </c>
      <c r="R59">
        <v>1</v>
      </c>
      <c r="S59">
        <v>0</v>
      </c>
      <c r="T59">
        <f t="shared" si="1"/>
        <v>-0.10258878834061727</v>
      </c>
    </row>
    <row r="60" spans="1:20" x14ac:dyDescent="0.3">
      <c r="A60" s="5" t="s">
        <v>22</v>
      </c>
      <c r="B60" s="5">
        <v>3</v>
      </c>
      <c r="C60" s="5">
        <v>2008</v>
      </c>
      <c r="D60" s="5">
        <v>1.99042004970298</v>
      </c>
      <c r="E60">
        <v>17.175623143669601</v>
      </c>
      <c r="F60">
        <v>9.5</v>
      </c>
      <c r="G60">
        <v>9.74108003212746</v>
      </c>
      <c r="H60">
        <v>-0.261542618274689</v>
      </c>
      <c r="I60">
        <v>-2.5623215362429601E-2</v>
      </c>
      <c r="J60">
        <v>-1.8534623384475699</v>
      </c>
      <c r="K60">
        <v>0.27238997817039501</v>
      </c>
      <c r="L60">
        <v>-0.38123598694801297</v>
      </c>
      <c r="M60">
        <v>-0.165922626852989</v>
      </c>
      <c r="N60">
        <v>0.14851345121860504</v>
      </c>
      <c r="O60">
        <v>0.57445156574249268</v>
      </c>
      <c r="P60">
        <v>1.0219684839248657</v>
      </c>
      <c r="Q60">
        <v>0.70170581340789795</v>
      </c>
      <c r="R60">
        <v>1</v>
      </c>
      <c r="S60">
        <v>0</v>
      </c>
      <c r="T60">
        <f t="shared" si="1"/>
        <v>-7.967373339849422E-2</v>
      </c>
    </row>
    <row r="61" spans="1:20" x14ac:dyDescent="0.3">
      <c r="A61" s="5" t="s">
        <v>22</v>
      </c>
      <c r="B61" s="5">
        <v>3</v>
      </c>
      <c r="C61" s="5">
        <v>2009</v>
      </c>
      <c r="D61" s="5">
        <v>1.7743735861555701</v>
      </c>
      <c r="E61">
        <v>13.008074603384101</v>
      </c>
      <c r="F61">
        <v>3.5</v>
      </c>
      <c r="G61">
        <v>6.1457834229999904</v>
      </c>
      <c r="H61">
        <v>-0.337012529373169</v>
      </c>
      <c r="I61">
        <v>-0.300557911396027</v>
      </c>
      <c r="J61">
        <v>-1.8323458433151201</v>
      </c>
      <c r="K61">
        <v>8.8281720876693698E-2</v>
      </c>
      <c r="L61">
        <v>-0.36777758598327598</v>
      </c>
      <c r="M61">
        <v>-0.149577632546425</v>
      </c>
      <c r="N61">
        <v>0.14898799359798431</v>
      </c>
      <c r="O61">
        <v>0.54388934373855591</v>
      </c>
      <c r="P61">
        <v>-0.17476625740528107</v>
      </c>
      <c r="Q61">
        <v>0.4181329607963562</v>
      </c>
      <c r="R61">
        <v>1</v>
      </c>
      <c r="S61">
        <v>0</v>
      </c>
      <c r="T61">
        <f t="shared" si="1"/>
        <v>-0.10854315076842672</v>
      </c>
    </row>
    <row r="62" spans="1:20" x14ac:dyDescent="0.3">
      <c r="A62" s="5" t="s">
        <v>22</v>
      </c>
      <c r="B62" s="5">
        <v>3</v>
      </c>
      <c r="C62" s="5">
        <v>2010</v>
      </c>
      <c r="D62" s="5">
        <v>1.40693436300273</v>
      </c>
      <c r="E62">
        <v>9.3814899368340097</v>
      </c>
      <c r="F62">
        <v>3</v>
      </c>
      <c r="G62">
        <v>3.6618603298517001</v>
      </c>
      <c r="H62">
        <v>-0.42333310842513999</v>
      </c>
      <c r="I62">
        <v>-0.123824141919613</v>
      </c>
      <c r="J62">
        <v>-1.5371848344802901</v>
      </c>
      <c r="K62">
        <v>0.15725393593311299</v>
      </c>
      <c r="L62">
        <v>-0.27138561010360701</v>
      </c>
      <c r="M62">
        <v>-0.13235718011856101</v>
      </c>
      <c r="N62">
        <v>0.27237847447395325</v>
      </c>
      <c r="O62">
        <v>0.63831579685211182</v>
      </c>
      <c r="P62">
        <v>-0.17476625740528107</v>
      </c>
      <c r="Q62">
        <v>0.4181329607963562</v>
      </c>
      <c r="R62">
        <v>1</v>
      </c>
      <c r="S62">
        <v>0</v>
      </c>
      <c r="T62">
        <f t="shared" si="1"/>
        <v>-0.20708109386870935</v>
      </c>
    </row>
    <row r="63" spans="1:20" x14ac:dyDescent="0.3">
      <c r="A63" s="5" t="s">
        <v>22</v>
      </c>
      <c r="B63" s="5">
        <v>3</v>
      </c>
      <c r="C63" s="5">
        <v>2011</v>
      </c>
      <c r="D63" s="5">
        <v>1.2243971747920299</v>
      </c>
      <c r="E63">
        <v>11.2199184470583</v>
      </c>
      <c r="F63">
        <v>4.75</v>
      </c>
      <c r="G63">
        <v>4.2638845969046502</v>
      </c>
      <c r="H63">
        <v>-0.31752768158912698</v>
      </c>
      <c r="I63">
        <v>-5.0426963716745397E-2</v>
      </c>
      <c r="J63">
        <v>-1.28465557098389</v>
      </c>
      <c r="K63">
        <v>0.27960145473480202</v>
      </c>
      <c r="L63">
        <v>-0.217361465096474</v>
      </c>
      <c r="M63">
        <v>-5.9714227914810201E-2</v>
      </c>
      <c r="N63">
        <v>0.19316723942756653</v>
      </c>
      <c r="O63">
        <v>0.71794998645782471</v>
      </c>
      <c r="P63">
        <v>-0.17476625740528107</v>
      </c>
      <c r="Q63">
        <v>0.4181329607963562</v>
      </c>
      <c r="R63">
        <v>1</v>
      </c>
      <c r="S63">
        <v>0</v>
      </c>
      <c r="T63">
        <f t="shared" si="1"/>
        <v>-0.12974108317400299</v>
      </c>
    </row>
    <row r="64" spans="1:20" x14ac:dyDescent="0.3">
      <c r="A64" s="5" t="s">
        <v>22</v>
      </c>
      <c r="B64" s="5">
        <v>3</v>
      </c>
      <c r="C64" s="5">
        <v>2012</v>
      </c>
      <c r="D64" s="5">
        <v>1.08410323361976</v>
      </c>
      <c r="E64">
        <v>12.585040204924701</v>
      </c>
      <c r="F64">
        <v>4.25</v>
      </c>
      <c r="G64">
        <v>5.35583383898964</v>
      </c>
      <c r="H64">
        <v>-0.42229834198951699</v>
      </c>
      <c r="I64">
        <v>-1.1649925727397199E-3</v>
      </c>
      <c r="J64">
        <v>-1.40181040763855</v>
      </c>
      <c r="K64">
        <v>0.32659468054771401</v>
      </c>
      <c r="L64">
        <v>-0.32591912150383001</v>
      </c>
      <c r="M64">
        <v>-6.39913454651833E-2</v>
      </c>
      <c r="N64">
        <v>0.26572281122207642</v>
      </c>
      <c r="O64">
        <v>0.52903056144714355</v>
      </c>
      <c r="P64">
        <v>-0.17476625740528107</v>
      </c>
      <c r="Q64">
        <v>0.4181329607963562</v>
      </c>
      <c r="R64">
        <v>1</v>
      </c>
      <c r="S64">
        <v>0</v>
      </c>
      <c r="T64">
        <f t="shared" si="1"/>
        <v>-0.1145820523443298</v>
      </c>
    </row>
    <row r="65" spans="1:20" x14ac:dyDescent="0.3">
      <c r="A65" s="5" t="s">
        <v>22</v>
      </c>
      <c r="B65" s="5">
        <v>3</v>
      </c>
      <c r="C65" s="5">
        <v>2013</v>
      </c>
      <c r="D65" s="5">
        <v>1.1645917518464901</v>
      </c>
      <c r="E65">
        <v>10.9855861710036</v>
      </c>
      <c r="F65">
        <v>3.25</v>
      </c>
      <c r="G65">
        <v>4.1700175647084397</v>
      </c>
      <c r="H65">
        <v>-0.44120812416076699</v>
      </c>
      <c r="I65">
        <v>5.31518310308456E-2</v>
      </c>
      <c r="J65">
        <v>-1.2919718027114899</v>
      </c>
      <c r="K65">
        <v>0.339824229478836</v>
      </c>
      <c r="L65">
        <v>-0.38826909661293002</v>
      </c>
      <c r="M65">
        <v>-8.1308312714099898E-2</v>
      </c>
      <c r="N65">
        <v>0.35626712441444397</v>
      </c>
      <c r="O65">
        <v>0.27137482166290283</v>
      </c>
      <c r="P65">
        <v>-0.17476625740528107</v>
      </c>
      <c r="Q65">
        <v>0.4181329607963562</v>
      </c>
      <c r="R65">
        <v>1</v>
      </c>
      <c r="S65">
        <v>0</v>
      </c>
      <c r="T65">
        <f t="shared" si="1"/>
        <v>7.4244329996123556E-2</v>
      </c>
    </row>
    <row r="66" spans="1:20" x14ac:dyDescent="0.3">
      <c r="A66" s="5" t="s">
        <v>22</v>
      </c>
      <c r="B66" s="5">
        <v>3</v>
      </c>
      <c r="C66" s="5">
        <v>2014</v>
      </c>
      <c r="D66" s="5">
        <v>1.0926769562674099</v>
      </c>
      <c r="E66">
        <v>10.867335037612699</v>
      </c>
      <c r="F66">
        <v>4.5</v>
      </c>
      <c r="G66">
        <v>4.0894071497328897</v>
      </c>
      <c r="H66">
        <v>-0.39750981330871599</v>
      </c>
      <c r="I66">
        <v>-0.13585403561592099</v>
      </c>
      <c r="J66">
        <v>-1.1145941019058201</v>
      </c>
      <c r="K66">
        <v>0.44441202282905601</v>
      </c>
      <c r="L66">
        <v>-0.252291530370712</v>
      </c>
      <c r="M66">
        <v>-4.3343797326088E-2</v>
      </c>
      <c r="N66">
        <v>0.20012134313583374</v>
      </c>
      <c r="O66">
        <v>0.1522236168384552</v>
      </c>
      <c r="P66">
        <v>-0.17476625740528107</v>
      </c>
      <c r="Q66">
        <v>0.4181329607963562</v>
      </c>
      <c r="R66">
        <v>1</v>
      </c>
      <c r="S66">
        <v>0</v>
      </c>
      <c r="T66">
        <f t="shared" si="1"/>
        <v>-6.1751077547181191E-2</v>
      </c>
    </row>
    <row r="67" spans="1:20" x14ac:dyDescent="0.3">
      <c r="A67" s="5" t="s">
        <v>22</v>
      </c>
      <c r="B67" s="5">
        <v>3</v>
      </c>
      <c r="C67" s="5">
        <v>2015</v>
      </c>
      <c r="D67" s="5">
        <v>1.70416576384897</v>
      </c>
      <c r="E67">
        <v>11.4499872575296</v>
      </c>
      <c r="F67">
        <v>5.75</v>
      </c>
      <c r="G67">
        <v>4.5792391820826204</v>
      </c>
      <c r="H67">
        <v>-0.35260182619094799</v>
      </c>
      <c r="I67">
        <v>-9.3739084899425507E-2</v>
      </c>
      <c r="J67">
        <v>-1.0726637840271001</v>
      </c>
      <c r="K67">
        <v>0.40771973133087203</v>
      </c>
      <c r="L67">
        <v>-0.24723581969738001</v>
      </c>
      <c r="M67">
        <v>4.0463153272867203E-3</v>
      </c>
      <c r="N67">
        <v>0.1526264101266861</v>
      </c>
      <c r="O67">
        <v>0.16672343015670776</v>
      </c>
      <c r="P67">
        <v>-0.17476625740528107</v>
      </c>
      <c r="Q67">
        <v>0.4181329607963562</v>
      </c>
      <c r="R67">
        <v>1</v>
      </c>
      <c r="S67">
        <v>0</v>
      </c>
      <c r="T67">
        <f t="shared" si="1"/>
        <v>0.5596245112282856</v>
      </c>
    </row>
    <row r="68" spans="1:20" x14ac:dyDescent="0.3">
      <c r="A68" s="5" t="s">
        <v>22</v>
      </c>
      <c r="B68" s="5">
        <v>3</v>
      </c>
      <c r="C68" s="5">
        <v>2016</v>
      </c>
      <c r="D68" s="5">
        <v>1.8364300486532199</v>
      </c>
      <c r="E68">
        <v>14.6454318106769</v>
      </c>
      <c r="F68">
        <v>7.5</v>
      </c>
      <c r="G68">
        <v>6.7834325928660197</v>
      </c>
      <c r="H68">
        <v>-0.38461750745773299</v>
      </c>
      <c r="I68">
        <v>-3.6966584622860003E-2</v>
      </c>
      <c r="J68">
        <v>-0.88716399669647195</v>
      </c>
      <c r="K68">
        <v>0.339025348424911</v>
      </c>
      <c r="L68">
        <v>-0.26606816053390497</v>
      </c>
      <c r="M68">
        <v>0.122125923633575</v>
      </c>
      <c r="N68">
        <v>0.15423582494258881</v>
      </c>
      <c r="O68">
        <v>0.4413573145866394</v>
      </c>
      <c r="P68">
        <v>-0.17476625740528107</v>
      </c>
      <c r="Q68">
        <v>0.4181329607963562</v>
      </c>
      <c r="R68">
        <v>1</v>
      </c>
      <c r="S68">
        <v>0</v>
      </c>
      <c r="T68">
        <f t="shared" si="1"/>
        <v>7.7612335378409641E-2</v>
      </c>
    </row>
    <row r="69" spans="1:20" x14ac:dyDescent="0.3">
      <c r="A69" s="5" t="s">
        <v>22</v>
      </c>
      <c r="B69" s="5">
        <v>3</v>
      </c>
      <c r="C69" s="5">
        <v>2017</v>
      </c>
      <c r="D69" s="5">
        <v>1.86578764806417</v>
      </c>
      <c r="E69">
        <v>13.685830318481701</v>
      </c>
      <c r="F69">
        <v>4.75</v>
      </c>
      <c r="G69">
        <v>5.9893988857672902</v>
      </c>
      <c r="H69">
        <v>-0.42982959747314498</v>
      </c>
      <c r="I69">
        <v>-0.140821367502213</v>
      </c>
      <c r="J69">
        <v>-0.779457807540894</v>
      </c>
      <c r="K69">
        <v>0.25744664669036899</v>
      </c>
      <c r="L69">
        <v>-0.36663326621055597</v>
      </c>
      <c r="M69">
        <v>0.112731605768204</v>
      </c>
      <c r="N69">
        <v>0.34177139401435852</v>
      </c>
      <c r="O69">
        <v>0.70427423715591431</v>
      </c>
      <c r="P69">
        <v>-0.17476625740528107</v>
      </c>
      <c r="Q69">
        <v>0.4181329607963562</v>
      </c>
      <c r="R69">
        <v>1</v>
      </c>
      <c r="S69">
        <v>0</v>
      </c>
      <c r="T69">
        <f t="shared" si="1"/>
        <v>1.5986233416557305E-2</v>
      </c>
    </row>
    <row r="70" spans="1:20" x14ac:dyDescent="0.3">
      <c r="A70" s="5" t="s">
        <v>22</v>
      </c>
      <c r="B70" s="5">
        <v>3</v>
      </c>
      <c r="C70" s="5">
        <v>2018</v>
      </c>
      <c r="D70" s="5">
        <v>1.9973413778281599</v>
      </c>
      <c r="E70">
        <v>12.1148777449182</v>
      </c>
      <c r="F70">
        <v>4.25</v>
      </c>
      <c r="G70">
        <v>4.7085517883212296</v>
      </c>
      <c r="H70">
        <v>-0.34043976664543202</v>
      </c>
      <c r="I70">
        <v>-0.13937011361122101</v>
      </c>
      <c r="J70">
        <v>-0.80694198608398404</v>
      </c>
      <c r="K70">
        <v>0.22488917410373699</v>
      </c>
      <c r="L70">
        <v>-0.38374215364456199</v>
      </c>
      <c r="M70">
        <v>0.17221331596374501</v>
      </c>
      <c r="N70">
        <v>0.23632661998271942</v>
      </c>
      <c r="O70">
        <v>0.78820419311523438</v>
      </c>
      <c r="P70">
        <v>-0.17476625740528107</v>
      </c>
      <c r="Q70">
        <v>0.4181329607963562</v>
      </c>
      <c r="R70">
        <v>1</v>
      </c>
      <c r="S70">
        <v>0</v>
      </c>
      <c r="T70">
        <f t="shared" si="1"/>
        <v>7.0508414985211335E-2</v>
      </c>
    </row>
    <row r="71" spans="1:20" x14ac:dyDescent="0.3">
      <c r="A71" s="5" t="s">
        <v>22</v>
      </c>
      <c r="B71" s="5">
        <v>3</v>
      </c>
      <c r="C71" s="5">
        <v>2019</v>
      </c>
      <c r="D71" s="5">
        <v>2.2029717586425099</v>
      </c>
      <c r="E71">
        <v>11.7690653821826</v>
      </c>
      <c r="F71">
        <v>4.25</v>
      </c>
      <c r="G71">
        <v>4.4979323769604598</v>
      </c>
      <c r="H71">
        <v>-0.28361567854881298</v>
      </c>
      <c r="I71">
        <v>3.2715104520320899E-2</v>
      </c>
      <c r="J71">
        <v>-0.97948610782623302</v>
      </c>
      <c r="K71">
        <v>0.31791093945503202</v>
      </c>
      <c r="L71">
        <v>-0.391183972358704</v>
      </c>
      <c r="M71">
        <v>0.20458340644836401</v>
      </c>
      <c r="N71">
        <v>0.21671405434608459</v>
      </c>
      <c r="O71">
        <v>0.49866607785224915</v>
      </c>
      <c r="P71">
        <v>-0.17476625740528107</v>
      </c>
      <c r="Q71">
        <v>0.4181329607963562</v>
      </c>
      <c r="R71">
        <v>1</v>
      </c>
      <c r="S71">
        <v>0</v>
      </c>
      <c r="T71">
        <f t="shared" si="1"/>
        <v>0.10295204570284595</v>
      </c>
    </row>
    <row r="72" spans="1:20" x14ac:dyDescent="0.3">
      <c r="A72" s="5" t="s">
        <v>22</v>
      </c>
      <c r="B72" s="5">
        <v>3</v>
      </c>
      <c r="C72" s="5">
        <v>2020</v>
      </c>
      <c r="D72" s="5">
        <v>2.5613347840285399</v>
      </c>
      <c r="E72">
        <v>9.8505242512901408</v>
      </c>
      <c r="F72">
        <v>1.75</v>
      </c>
      <c r="G72">
        <v>3.3780897222787098</v>
      </c>
      <c r="H72">
        <v>-0.25249859690666199</v>
      </c>
      <c r="I72">
        <v>8.4753185510635393E-3</v>
      </c>
      <c r="J72">
        <v>-0.70115005970001198</v>
      </c>
      <c r="K72">
        <v>0.225666418671608</v>
      </c>
      <c r="L72">
        <v>-0.49140262603759799</v>
      </c>
      <c r="M72">
        <v>0.143006011843681</v>
      </c>
      <c r="N72">
        <v>0.14872409403324127</v>
      </c>
      <c r="O72">
        <v>0.30048361420631409</v>
      </c>
      <c r="P72">
        <v>-0.17476625740528107</v>
      </c>
      <c r="Q72">
        <v>0.4181329607963562</v>
      </c>
      <c r="R72">
        <v>1</v>
      </c>
      <c r="S72">
        <v>0</v>
      </c>
      <c r="T72">
        <f t="shared" si="1"/>
        <v>0.16267254629122269</v>
      </c>
    </row>
    <row r="73" spans="1:20" x14ac:dyDescent="0.3">
      <c r="A73" s="5" t="s">
        <v>22</v>
      </c>
      <c r="B73" s="5">
        <v>3</v>
      </c>
      <c r="C73" s="5">
        <v>2021</v>
      </c>
      <c r="D73" s="5">
        <v>2.70254419060708</v>
      </c>
      <c r="E73">
        <v>9.33784840910009</v>
      </c>
      <c r="F73">
        <v>3</v>
      </c>
      <c r="G73">
        <v>2.07264966142457</v>
      </c>
      <c r="H73">
        <v>-0.36594480276107799</v>
      </c>
      <c r="I73">
        <v>-4.7827649861574201E-2</v>
      </c>
      <c r="J73">
        <v>-0.95457434654235795</v>
      </c>
      <c r="K73">
        <v>0.20214469730854001</v>
      </c>
      <c r="L73">
        <v>-0.47082850337028498</v>
      </c>
      <c r="M73">
        <v>9.4030171632766696E-2</v>
      </c>
      <c r="N73">
        <v>0.21955439746379851</v>
      </c>
      <c r="O73">
        <v>0.54659708738327029</v>
      </c>
      <c r="P73">
        <v>-0.17476625740528107</v>
      </c>
      <c r="Q73">
        <v>0.4181329607963562</v>
      </c>
      <c r="R73">
        <v>1</v>
      </c>
      <c r="S73">
        <v>0</v>
      </c>
      <c r="T73">
        <f t="shared" si="1"/>
        <v>5.5131179047372296E-2</v>
      </c>
    </row>
    <row r="74" spans="1:20" x14ac:dyDescent="0.3">
      <c r="A74" s="5" t="s">
        <v>22</v>
      </c>
      <c r="B74" s="5">
        <v>3</v>
      </c>
      <c r="C74" s="5">
        <v>2022</v>
      </c>
      <c r="D74" s="5">
        <v>2.7354220776326001</v>
      </c>
      <c r="E74">
        <v>15.807508870630301</v>
      </c>
      <c r="F74">
        <v>12</v>
      </c>
      <c r="G74">
        <v>8.5001235676892897</v>
      </c>
      <c r="H74">
        <v>-0.36208811402320901</v>
      </c>
      <c r="I74">
        <v>1.379637978971E-2</v>
      </c>
      <c r="J74">
        <v>-0.62995833158492998</v>
      </c>
      <c r="K74">
        <v>0.14044916629791299</v>
      </c>
      <c r="L74">
        <v>-0.42776024341583302</v>
      </c>
      <c r="M74">
        <v>0.168687179684639</v>
      </c>
      <c r="N74">
        <v>0.23261811196804047</v>
      </c>
      <c r="O74">
        <v>0.56764504194259646</v>
      </c>
      <c r="P74">
        <v>-0.17476625740528107</v>
      </c>
      <c r="Q74">
        <v>0.4181329607963562</v>
      </c>
      <c r="R74">
        <v>1</v>
      </c>
      <c r="S74">
        <v>0</v>
      </c>
      <c r="T74">
        <f t="shared" si="1"/>
        <v>1.2165531701494488E-2</v>
      </c>
    </row>
    <row r="75" spans="1:20" x14ac:dyDescent="0.3">
      <c r="A75" s="5" t="s">
        <v>22</v>
      </c>
      <c r="B75" s="5">
        <v>3</v>
      </c>
      <c r="C75" s="5">
        <v>2023</v>
      </c>
      <c r="D75" s="5">
        <v>2.7605292901736398</v>
      </c>
      <c r="E75">
        <v>21.030636830486198</v>
      </c>
      <c r="F75">
        <v>13</v>
      </c>
      <c r="G75">
        <v>13.2133794536196</v>
      </c>
      <c r="H75">
        <v>-0.30919128656387301</v>
      </c>
      <c r="I75">
        <v>-7.5877919793128995E-2</v>
      </c>
      <c r="J75">
        <v>-0.71731323003768899</v>
      </c>
      <c r="K75">
        <v>0.101034268736839</v>
      </c>
      <c r="L75">
        <v>-0.45827293395996099</v>
      </c>
      <c r="M75">
        <v>0.20521374046802501</v>
      </c>
      <c r="N75">
        <v>0.21078745555877684</v>
      </c>
      <c r="O75">
        <v>0.54031920289993285</v>
      </c>
      <c r="P75">
        <v>-0.17476625740528107</v>
      </c>
      <c r="Q75">
        <v>0.4181329607963562</v>
      </c>
      <c r="R75">
        <v>1</v>
      </c>
      <c r="S75">
        <v>0</v>
      </c>
      <c r="T75">
        <f t="shared" si="1"/>
        <v>9.1785515465199977E-3</v>
      </c>
    </row>
    <row r="76" spans="1:20" x14ac:dyDescent="0.3">
      <c r="A76" s="5" t="s">
        <v>22</v>
      </c>
      <c r="B76" s="5">
        <v>3</v>
      </c>
      <c r="C76" s="5">
        <v>2024</v>
      </c>
      <c r="D76" s="5">
        <v>2.8349375111708102</v>
      </c>
      <c r="E76">
        <v>16.374422638009101</v>
      </c>
      <c r="F76">
        <v>9.5</v>
      </c>
      <c r="G76">
        <v>10.1726228901846</v>
      </c>
      <c r="H76">
        <v>-0.31466769576072701</v>
      </c>
      <c r="I76">
        <v>-1.3743753358721753E-2</v>
      </c>
      <c r="J76">
        <v>-0.79649641513824443</v>
      </c>
      <c r="K76">
        <v>0.19744109809398641</v>
      </c>
      <c r="L76">
        <v>-0.44788965582847623</v>
      </c>
      <c r="M76">
        <v>0.16310410201549513</v>
      </c>
      <c r="N76">
        <v>0.20567962267398837</v>
      </c>
      <c r="O76">
        <v>0.49074220485687253</v>
      </c>
      <c r="P76">
        <v>-0.17476625740528107</v>
      </c>
      <c r="Q76">
        <v>0.4181329607963562</v>
      </c>
      <c r="R76">
        <v>1</v>
      </c>
      <c r="S76">
        <v>0</v>
      </c>
      <c r="T76">
        <f t="shared" si="1"/>
        <v>2.6954331280611057E-2</v>
      </c>
    </row>
    <row r="77" spans="1:20" x14ac:dyDescent="0.3">
      <c r="A77" s="5" t="s">
        <v>21</v>
      </c>
      <c r="B77" s="5">
        <v>4</v>
      </c>
      <c r="C77" s="5">
        <v>2000</v>
      </c>
      <c r="D77" s="5">
        <v>3.0908921852071898</v>
      </c>
      <c r="E77">
        <v>20.8816666666666</v>
      </c>
      <c r="F77" s="2">
        <v>5.72</v>
      </c>
      <c r="G77">
        <v>10.170833333333301</v>
      </c>
      <c r="H77">
        <v>-0.83088988065719604</v>
      </c>
      <c r="I77">
        <v>-0.56138736009597801</v>
      </c>
      <c r="J77">
        <v>-0.76833391189575195</v>
      </c>
      <c r="K77">
        <v>-0.28851237893104598</v>
      </c>
      <c r="L77">
        <v>-0.88579159975051902</v>
      </c>
      <c r="M77">
        <v>-0.28594452142715499</v>
      </c>
      <c r="N77">
        <v>0.54589122533798218</v>
      </c>
      <c r="O77">
        <v>0.40159907937049866</v>
      </c>
      <c r="P77">
        <v>1.0840957164764404</v>
      </c>
      <c r="Q77">
        <v>0.71642720699310303</v>
      </c>
      <c r="R77">
        <v>1</v>
      </c>
      <c r="S77">
        <v>1</v>
      </c>
    </row>
    <row r="78" spans="1:20" x14ac:dyDescent="0.3">
      <c r="A78" s="5" t="s">
        <v>21</v>
      </c>
      <c r="B78" s="5">
        <v>4</v>
      </c>
      <c r="C78" s="5">
        <v>2001</v>
      </c>
      <c r="D78" s="5">
        <v>3.44333629274611</v>
      </c>
      <c r="E78">
        <v>18.9575</v>
      </c>
      <c r="F78" s="2">
        <v>4.53</v>
      </c>
      <c r="G78">
        <v>8.7541666666666593</v>
      </c>
      <c r="H78">
        <v>-0.74545580148696899</v>
      </c>
      <c r="I78">
        <v>-0.56222599744796753</v>
      </c>
      <c r="J78">
        <v>-0.80131351947784446</v>
      </c>
      <c r="K78">
        <v>-0.22713859379291548</v>
      </c>
      <c r="L78">
        <v>-0.93834179639816306</v>
      </c>
      <c r="M78">
        <v>-0.32228016853332553</v>
      </c>
      <c r="N78">
        <v>0.49827089905738831</v>
      </c>
      <c r="O78">
        <v>0.47242742776870728</v>
      </c>
      <c r="P78">
        <v>2.2808303833007813</v>
      </c>
      <c r="Q78">
        <v>1</v>
      </c>
      <c r="R78">
        <v>1</v>
      </c>
      <c r="S78">
        <v>1</v>
      </c>
      <c r="T78">
        <f>((D78-D77)/D77)</f>
        <v>0.11402665845987606</v>
      </c>
    </row>
    <row r="79" spans="1:20" x14ac:dyDescent="0.3">
      <c r="A79" s="5" t="s">
        <v>21</v>
      </c>
      <c r="B79" s="5">
        <v>4</v>
      </c>
      <c r="C79" s="5">
        <v>2002</v>
      </c>
      <c r="D79" s="5">
        <v>7.8271176550582897</v>
      </c>
      <c r="E79">
        <v>16.864166666666598</v>
      </c>
      <c r="F79" s="2">
        <v>2.2200000000000002</v>
      </c>
      <c r="G79">
        <v>6.915</v>
      </c>
      <c r="H79">
        <v>-0.66002172231674205</v>
      </c>
      <c r="I79">
        <v>-0.56306463479995705</v>
      </c>
      <c r="J79">
        <v>-0.83429312705993697</v>
      </c>
      <c r="K79">
        <v>-0.16576480865478499</v>
      </c>
      <c r="L79">
        <v>-0.990891993045807</v>
      </c>
      <c r="M79">
        <v>-0.35861581563949602</v>
      </c>
      <c r="N79">
        <v>0.45552811026573181</v>
      </c>
      <c r="O79">
        <v>0.30977380275726318</v>
      </c>
      <c r="P79">
        <v>2.2808303833007813</v>
      </c>
      <c r="Q79">
        <v>1</v>
      </c>
      <c r="R79">
        <v>1</v>
      </c>
      <c r="S79">
        <v>1</v>
      </c>
      <c r="T79">
        <f t="shared" ref="T79:T101" si="2">((D79-D78)/D78)</f>
        <v>1.2731203082159748</v>
      </c>
    </row>
    <row r="80" spans="1:20" x14ac:dyDescent="0.3">
      <c r="A80" s="5" t="s">
        <v>21</v>
      </c>
      <c r="B80" s="5">
        <v>4</v>
      </c>
      <c r="C80" s="5">
        <v>2003</v>
      </c>
      <c r="D80" s="5">
        <v>9.9505232395590397</v>
      </c>
      <c r="E80">
        <v>14.9783333333333</v>
      </c>
      <c r="F80" s="2">
        <v>1.83</v>
      </c>
      <c r="G80">
        <v>4.78249999999999</v>
      </c>
      <c r="H80">
        <v>-0.73712795972824097</v>
      </c>
      <c r="I80">
        <v>-0.57090854644775402</v>
      </c>
      <c r="J80">
        <v>-0.77479660511016801</v>
      </c>
      <c r="K80">
        <v>-0.34970322251319902</v>
      </c>
      <c r="L80">
        <v>-1.1009407043457</v>
      </c>
      <c r="M80">
        <v>-0.48362833261489901</v>
      </c>
      <c r="N80">
        <v>0.57124674320220947</v>
      </c>
      <c r="O80">
        <v>0.28498917818069458</v>
      </c>
      <c r="P80">
        <v>2.2808303833007813</v>
      </c>
      <c r="Q80">
        <v>1</v>
      </c>
      <c r="R80">
        <v>1</v>
      </c>
      <c r="S80">
        <v>1</v>
      </c>
      <c r="T80">
        <f t="shared" si="2"/>
        <v>0.27128831813694471</v>
      </c>
    </row>
    <row r="81" spans="1:20" x14ac:dyDescent="0.3">
      <c r="A81" s="5" t="s">
        <v>21</v>
      </c>
      <c r="B81" s="5">
        <v>4</v>
      </c>
      <c r="C81" s="5">
        <v>2004</v>
      </c>
      <c r="D81" s="5">
        <v>11.1441946802014</v>
      </c>
      <c r="E81">
        <v>13.810833333333299</v>
      </c>
      <c r="F81" s="2">
        <v>2.5499999999999998</v>
      </c>
      <c r="G81">
        <v>4.1900000000000004</v>
      </c>
      <c r="H81">
        <v>-0.61975061893463101</v>
      </c>
      <c r="I81">
        <v>-0.805464208126068</v>
      </c>
      <c r="J81">
        <v>-0.80803483724594105</v>
      </c>
      <c r="K81">
        <v>-0.22633421421051</v>
      </c>
      <c r="L81">
        <v>-1.0620985031127901</v>
      </c>
      <c r="M81">
        <v>-0.32440426945686301</v>
      </c>
      <c r="N81">
        <v>0.6118895411491394</v>
      </c>
      <c r="O81">
        <v>0.35745814442634583</v>
      </c>
      <c r="P81">
        <v>2.2808303833007813</v>
      </c>
      <c r="Q81">
        <v>1</v>
      </c>
      <c r="R81">
        <v>1</v>
      </c>
      <c r="S81">
        <v>1</v>
      </c>
      <c r="T81">
        <f t="shared" si="2"/>
        <v>0.11996067060039931</v>
      </c>
    </row>
    <row r="82" spans="1:20" x14ac:dyDescent="0.3">
      <c r="A82" s="5" t="s">
        <v>21</v>
      </c>
      <c r="B82" s="5">
        <v>4</v>
      </c>
      <c r="C82" s="5">
        <v>2005</v>
      </c>
      <c r="D82" s="5">
        <v>11.4496338247076</v>
      </c>
      <c r="E82">
        <v>13.033333333333299</v>
      </c>
      <c r="F82">
        <v>4.25</v>
      </c>
      <c r="G82">
        <v>4.34916666666666</v>
      </c>
      <c r="H82">
        <v>-0.68420392274856601</v>
      </c>
      <c r="I82">
        <v>-0.79611629247665405</v>
      </c>
      <c r="J82">
        <v>-0.83561819791793801</v>
      </c>
      <c r="K82">
        <v>-0.50091141462326005</v>
      </c>
      <c r="L82">
        <v>-1.04830694198608</v>
      </c>
      <c r="M82">
        <v>-0.35937941074371299</v>
      </c>
      <c r="N82">
        <v>0.59052556753158569</v>
      </c>
      <c r="O82">
        <v>0.37314960360527039</v>
      </c>
      <c r="P82">
        <v>2.2808303833007813</v>
      </c>
      <c r="Q82">
        <v>1</v>
      </c>
      <c r="R82">
        <v>1</v>
      </c>
      <c r="S82">
        <v>1</v>
      </c>
      <c r="T82">
        <f t="shared" si="2"/>
        <v>2.7407915356040841E-2</v>
      </c>
    </row>
    <row r="83" spans="1:20" x14ac:dyDescent="0.3">
      <c r="A83" s="5" t="s">
        <v>21</v>
      </c>
      <c r="B83" s="5">
        <v>4</v>
      </c>
      <c r="C83" s="5">
        <v>2006</v>
      </c>
      <c r="D83" s="5">
        <v>12.439716566023099</v>
      </c>
      <c r="E83">
        <v>12.762499999999999</v>
      </c>
      <c r="F83">
        <v>5</v>
      </c>
      <c r="G83">
        <v>4.5033333333333303</v>
      </c>
      <c r="H83">
        <v>-0.83790272474288896</v>
      </c>
      <c r="I83">
        <v>-0.69197463989257801</v>
      </c>
      <c r="J83">
        <v>-0.73523879051208496</v>
      </c>
      <c r="K83">
        <v>-0.31537607312202498</v>
      </c>
      <c r="L83">
        <v>-1.09776103496552</v>
      </c>
      <c r="M83">
        <v>-0.16878956556320199</v>
      </c>
      <c r="N83">
        <v>0.73182195425033569</v>
      </c>
      <c r="O83">
        <v>0.39385885000228882</v>
      </c>
      <c r="P83">
        <v>2.2808303833007813</v>
      </c>
      <c r="Q83">
        <v>1</v>
      </c>
      <c r="R83">
        <v>1</v>
      </c>
      <c r="S83">
        <v>1</v>
      </c>
      <c r="T83">
        <f t="shared" si="2"/>
        <v>8.6472873846756712E-2</v>
      </c>
    </row>
    <row r="84" spans="1:20" x14ac:dyDescent="0.3">
      <c r="A84" s="5" t="s">
        <v>21</v>
      </c>
      <c r="B84" s="5">
        <v>4</v>
      </c>
      <c r="C84" s="5">
        <v>2007</v>
      </c>
      <c r="D84" s="5">
        <v>12.6198129936818</v>
      </c>
      <c r="E84">
        <v>12.8366666666666</v>
      </c>
      <c r="F84">
        <v>6.5</v>
      </c>
      <c r="G84">
        <v>4.7633333333333301</v>
      </c>
      <c r="H84">
        <v>-0.76933395862579301</v>
      </c>
      <c r="I84">
        <v>-0.66386991739273105</v>
      </c>
      <c r="J84">
        <v>-0.75342494249343905</v>
      </c>
      <c r="K84">
        <v>-0.30553713440895103</v>
      </c>
      <c r="L84">
        <v>-1.12104868888855</v>
      </c>
      <c r="M84">
        <v>-0.1712756305933</v>
      </c>
      <c r="N84">
        <v>0.59448349475860596</v>
      </c>
      <c r="O84">
        <v>0.56186172366142273</v>
      </c>
      <c r="P84">
        <v>2.2808303833007813</v>
      </c>
      <c r="Q84">
        <v>1</v>
      </c>
      <c r="R84">
        <v>1</v>
      </c>
      <c r="S84">
        <v>1</v>
      </c>
      <c r="T84">
        <f t="shared" si="2"/>
        <v>1.4477534653048449E-2</v>
      </c>
    </row>
    <row r="85" spans="1:20" x14ac:dyDescent="0.3">
      <c r="A85" s="5" t="s">
        <v>21</v>
      </c>
      <c r="B85" s="5">
        <v>4</v>
      </c>
      <c r="C85" s="5">
        <v>2008</v>
      </c>
      <c r="D85" s="5">
        <v>11.4940758820625</v>
      </c>
      <c r="E85">
        <v>13.3916666666666</v>
      </c>
      <c r="F85">
        <v>7.25</v>
      </c>
      <c r="G85">
        <v>5.0791666666666604</v>
      </c>
      <c r="H85">
        <v>-0.666637182235718</v>
      </c>
      <c r="I85">
        <v>-0.64727085828781095</v>
      </c>
      <c r="J85">
        <v>-0.71397155523300204</v>
      </c>
      <c r="K85">
        <v>-0.25203871726989702</v>
      </c>
      <c r="L85">
        <v>-1.12228560447693</v>
      </c>
      <c r="M85">
        <v>-0.20182563364505801</v>
      </c>
      <c r="N85">
        <v>0.43802806735038757</v>
      </c>
      <c r="O85">
        <v>0.72986459732055664</v>
      </c>
      <c r="P85">
        <v>2.2808303833007813</v>
      </c>
      <c r="Q85">
        <v>1</v>
      </c>
      <c r="R85">
        <v>1</v>
      </c>
      <c r="S85">
        <v>1</v>
      </c>
      <c r="T85">
        <f t="shared" si="2"/>
        <v>-8.92039455880137E-2</v>
      </c>
    </row>
    <row r="86" spans="1:20" x14ac:dyDescent="0.3">
      <c r="A86" s="5" t="s">
        <v>21</v>
      </c>
      <c r="B86" s="5">
        <v>4</v>
      </c>
      <c r="C86" s="5">
        <v>2009</v>
      </c>
      <c r="D86" s="5">
        <v>10.7798821237051</v>
      </c>
      <c r="E86">
        <v>13.8491666666666</v>
      </c>
      <c r="F86">
        <v>4.5</v>
      </c>
      <c r="G86">
        <v>5.57666666666666</v>
      </c>
      <c r="H86">
        <v>-0.53348213434219405</v>
      </c>
      <c r="I86">
        <v>-0.70974510908126798</v>
      </c>
      <c r="J86">
        <v>-0.92567259073257402</v>
      </c>
      <c r="K86">
        <v>-0.216534748673439</v>
      </c>
      <c r="L86">
        <v>-1.01313829421997</v>
      </c>
      <c r="M86">
        <v>-0.25000241398811301</v>
      </c>
      <c r="N86">
        <v>0.5946686863899231</v>
      </c>
      <c r="O86">
        <v>0.75319212675094604</v>
      </c>
      <c r="P86">
        <v>2.2808303833007813</v>
      </c>
      <c r="Q86">
        <v>1</v>
      </c>
      <c r="R86">
        <v>1</v>
      </c>
      <c r="S86">
        <v>1</v>
      </c>
      <c r="T86">
        <f t="shared" si="2"/>
        <v>-6.2135813760544334E-2</v>
      </c>
    </row>
    <row r="87" spans="1:20" x14ac:dyDescent="0.3">
      <c r="A87" s="5" t="s">
        <v>21</v>
      </c>
      <c r="B87" s="5">
        <v>4</v>
      </c>
      <c r="C87" s="5">
        <v>2010</v>
      </c>
      <c r="D87" s="5">
        <v>10.386025874685201</v>
      </c>
      <c r="E87">
        <v>13.341666666666599</v>
      </c>
      <c r="F87">
        <v>4.5</v>
      </c>
      <c r="G87">
        <v>5.4524999999999899</v>
      </c>
      <c r="H87">
        <v>-0.54078441858291604</v>
      </c>
      <c r="I87">
        <v>-0.72075462341308605</v>
      </c>
      <c r="J87">
        <v>-0.85292446613311801</v>
      </c>
      <c r="K87">
        <v>-0.17224489152431499</v>
      </c>
      <c r="L87">
        <v>-0.94412386417388905</v>
      </c>
      <c r="M87">
        <v>-0.30328357219696001</v>
      </c>
      <c r="N87">
        <v>0.49169960618019104</v>
      </c>
      <c r="O87">
        <v>0.45092448592185974</v>
      </c>
      <c r="P87">
        <v>2.2808303833007813</v>
      </c>
      <c r="Q87">
        <v>1</v>
      </c>
      <c r="R87">
        <v>1</v>
      </c>
      <c r="S87">
        <v>1</v>
      </c>
      <c r="T87">
        <f t="shared" si="2"/>
        <v>-3.6536229663755262E-2</v>
      </c>
    </row>
    <row r="88" spans="1:20" x14ac:dyDescent="0.3">
      <c r="A88" s="5" t="s">
        <v>21</v>
      </c>
      <c r="B88" s="5">
        <v>4</v>
      </c>
      <c r="C88" s="5">
        <v>2011</v>
      </c>
      <c r="D88" s="5">
        <v>9.6702968330401493</v>
      </c>
      <c r="E88">
        <v>13.43</v>
      </c>
      <c r="F88">
        <v>5.5</v>
      </c>
      <c r="G88">
        <v>5.2441666666666604</v>
      </c>
      <c r="H88">
        <v>-0.537248194217682</v>
      </c>
      <c r="I88">
        <v>-0.72451061010360696</v>
      </c>
      <c r="J88">
        <v>-0.74414139986038197</v>
      </c>
      <c r="K88">
        <v>-0.211610183119774</v>
      </c>
      <c r="L88">
        <v>-1.0314147472381601</v>
      </c>
      <c r="M88">
        <v>-0.311964631080627</v>
      </c>
      <c r="N88">
        <v>0.44697529077529907</v>
      </c>
      <c r="O88">
        <v>0.32874202728271484</v>
      </c>
      <c r="P88">
        <v>2.2808303833007813</v>
      </c>
      <c r="Q88">
        <v>1</v>
      </c>
      <c r="R88">
        <v>1</v>
      </c>
      <c r="S88">
        <v>1</v>
      </c>
      <c r="T88">
        <f t="shared" si="2"/>
        <v>-6.8912695797298418E-2</v>
      </c>
    </row>
    <row r="89" spans="1:20" x14ac:dyDescent="0.3">
      <c r="A89" s="5" t="s">
        <v>21</v>
      </c>
      <c r="B89" s="5">
        <v>4</v>
      </c>
      <c r="C89" s="5">
        <v>2012</v>
      </c>
      <c r="D89" s="5">
        <v>10.0118587523679</v>
      </c>
      <c r="E89">
        <v>13.486666666666601</v>
      </c>
      <c r="F89">
        <v>5</v>
      </c>
      <c r="G89">
        <v>5.2933333333333303</v>
      </c>
      <c r="H89">
        <v>-0.67876255512237504</v>
      </c>
      <c r="I89">
        <v>-0.78766673803329501</v>
      </c>
      <c r="J89">
        <v>-0.63382017612457298</v>
      </c>
      <c r="K89">
        <v>-0.26300093531608598</v>
      </c>
      <c r="L89">
        <v>-1.0839196443557699</v>
      </c>
      <c r="M89">
        <v>-0.356138646602631</v>
      </c>
      <c r="N89">
        <v>0.51820671558380127</v>
      </c>
      <c r="O89">
        <v>0.33961984515190125</v>
      </c>
      <c r="P89">
        <v>2.2808303833007813</v>
      </c>
      <c r="Q89">
        <v>1</v>
      </c>
      <c r="R89">
        <v>1</v>
      </c>
      <c r="S89">
        <v>1</v>
      </c>
      <c r="T89">
        <f t="shared" si="2"/>
        <v>3.5320727504532051E-2</v>
      </c>
    </row>
    <row r="90" spans="1:20" x14ac:dyDescent="0.3">
      <c r="A90" s="5" t="s">
        <v>21</v>
      </c>
      <c r="B90" s="5">
        <v>4</v>
      </c>
      <c r="C90" s="5">
        <v>2013</v>
      </c>
      <c r="D90" s="5">
        <v>10.0077092042108</v>
      </c>
      <c r="E90">
        <v>13.5975</v>
      </c>
      <c r="F90">
        <v>5</v>
      </c>
      <c r="G90">
        <v>5.45166666666666</v>
      </c>
      <c r="H90">
        <v>-0.63929146528243996</v>
      </c>
      <c r="I90">
        <v>-0.72754025459289595</v>
      </c>
      <c r="J90">
        <v>-0.67415624856948897</v>
      </c>
      <c r="K90">
        <v>-0.28711271286010698</v>
      </c>
      <c r="L90">
        <v>-1.0942586660385101</v>
      </c>
      <c r="M90">
        <v>-0.36660838127136203</v>
      </c>
      <c r="N90">
        <v>0.60953694581985474</v>
      </c>
      <c r="O90">
        <v>0.54126513004302979</v>
      </c>
      <c r="P90">
        <v>2.2808303833007813</v>
      </c>
      <c r="Q90">
        <v>1</v>
      </c>
      <c r="R90">
        <v>1</v>
      </c>
      <c r="S90">
        <v>1</v>
      </c>
      <c r="T90">
        <f t="shared" si="2"/>
        <v>-4.1446331392946452E-4</v>
      </c>
    </row>
    <row r="91" spans="1:20" x14ac:dyDescent="0.3">
      <c r="A91" s="5" t="s">
        <v>21</v>
      </c>
      <c r="B91" s="5">
        <v>4</v>
      </c>
      <c r="C91" s="5">
        <v>2014</v>
      </c>
      <c r="D91" s="5">
        <v>9.9416220391049208</v>
      </c>
      <c r="E91">
        <v>13.7733333333333</v>
      </c>
      <c r="F91">
        <v>4</v>
      </c>
      <c r="G91">
        <v>5.4775</v>
      </c>
      <c r="H91">
        <v>-0.756552994251251</v>
      </c>
      <c r="I91">
        <v>-0.762856304645538</v>
      </c>
      <c r="J91">
        <v>-0.65556353330612205</v>
      </c>
      <c r="K91">
        <v>-0.28429007530212402</v>
      </c>
      <c r="L91">
        <v>-0.956323862075806</v>
      </c>
      <c r="M91">
        <v>-0.33766344189643899</v>
      </c>
      <c r="N91">
        <v>0.60955792665481567</v>
      </c>
      <c r="O91">
        <v>0.72625935077667236</v>
      </c>
      <c r="P91">
        <v>2.2808303833007813</v>
      </c>
      <c r="Q91">
        <v>1</v>
      </c>
      <c r="R91">
        <v>1</v>
      </c>
      <c r="S91">
        <v>1</v>
      </c>
      <c r="T91">
        <f t="shared" si="2"/>
        <v>-6.6036256407282709E-3</v>
      </c>
    </row>
    <row r="92" spans="1:20" x14ac:dyDescent="0.3">
      <c r="A92" s="5" t="s">
        <v>21</v>
      </c>
      <c r="B92" s="5">
        <v>4</v>
      </c>
      <c r="C92" s="5">
        <v>2015</v>
      </c>
      <c r="D92" s="5">
        <v>10.423390350686599</v>
      </c>
      <c r="E92">
        <v>13.227499999999999</v>
      </c>
      <c r="F92">
        <v>3</v>
      </c>
      <c r="G92">
        <v>5.4658333333333298</v>
      </c>
      <c r="H92">
        <v>-0.78139233589172397</v>
      </c>
      <c r="I92">
        <v>-0.76987993717193604</v>
      </c>
      <c r="J92">
        <v>-0.65443789958953902</v>
      </c>
      <c r="K92">
        <v>-0.32563725113868702</v>
      </c>
      <c r="L92">
        <v>-0.95410692691803001</v>
      </c>
      <c r="M92">
        <v>-0.34646120667457603</v>
      </c>
      <c r="N92">
        <v>0.5831868052482605</v>
      </c>
      <c r="O92">
        <v>0.72608494758605957</v>
      </c>
      <c r="P92">
        <v>2.2808303833007813</v>
      </c>
      <c r="Q92">
        <v>1</v>
      </c>
      <c r="R92">
        <v>1</v>
      </c>
      <c r="S92">
        <v>1</v>
      </c>
      <c r="T92">
        <f t="shared" si="2"/>
        <v>4.8459729175648052E-2</v>
      </c>
    </row>
    <row r="93" spans="1:20" x14ac:dyDescent="0.3">
      <c r="A93" s="5" t="s">
        <v>21</v>
      </c>
      <c r="B93" s="5">
        <v>4</v>
      </c>
      <c r="C93" s="5">
        <v>2016</v>
      </c>
      <c r="D93" s="5">
        <v>11.1465467414657</v>
      </c>
      <c r="E93">
        <v>13.101666666666601</v>
      </c>
      <c r="F93">
        <v>3</v>
      </c>
      <c r="G93">
        <v>5.4749999999999996</v>
      </c>
      <c r="H93">
        <v>-0.79130184650421098</v>
      </c>
      <c r="I93">
        <v>-0.65410244464874301</v>
      </c>
      <c r="J93">
        <v>-0.54500371217727706</v>
      </c>
      <c r="K93">
        <v>-0.29981479048728898</v>
      </c>
      <c r="L93">
        <v>-1.03206479549408</v>
      </c>
      <c r="M93">
        <v>-0.29038777947425798</v>
      </c>
      <c r="N93">
        <v>0.64397823810577393</v>
      </c>
      <c r="O93">
        <v>0.83974778652191162</v>
      </c>
      <c r="P93">
        <v>2.2808303833007813</v>
      </c>
      <c r="Q93">
        <v>1</v>
      </c>
      <c r="R93">
        <v>1</v>
      </c>
      <c r="S93">
        <v>1</v>
      </c>
      <c r="T93">
        <f t="shared" si="2"/>
        <v>6.9378231693248055E-2</v>
      </c>
    </row>
    <row r="94" spans="1:20" x14ac:dyDescent="0.3">
      <c r="A94" s="5" t="s">
        <v>21</v>
      </c>
      <c r="B94" s="5">
        <v>4</v>
      </c>
      <c r="C94" s="5">
        <v>2017</v>
      </c>
      <c r="D94" s="5">
        <v>11.714499937425799</v>
      </c>
      <c r="E94">
        <v>13.0541666666666</v>
      </c>
      <c r="F94">
        <v>2.75</v>
      </c>
      <c r="G94">
        <v>5.37</v>
      </c>
      <c r="H94">
        <v>-0.78750121593475297</v>
      </c>
      <c r="I94">
        <v>-0.69247388839721702</v>
      </c>
      <c r="J94">
        <v>-0.65136545896530196</v>
      </c>
      <c r="K94">
        <v>-0.36994704604148898</v>
      </c>
      <c r="L94">
        <v>-1.0772886276245099</v>
      </c>
      <c r="M94">
        <v>-0.27969887852668801</v>
      </c>
      <c r="N94">
        <v>0.62693125009536743</v>
      </c>
      <c r="O94">
        <v>0.93478298187255859</v>
      </c>
      <c r="P94">
        <v>2.2808303833007813</v>
      </c>
      <c r="Q94">
        <v>1</v>
      </c>
      <c r="R94">
        <v>1</v>
      </c>
      <c r="S94">
        <v>1</v>
      </c>
      <c r="T94">
        <f t="shared" si="2"/>
        <v>5.0953287070271303E-2</v>
      </c>
    </row>
    <row r="95" spans="1:20" x14ac:dyDescent="0.3">
      <c r="A95" s="5" t="s">
        <v>21</v>
      </c>
      <c r="B95" s="5">
        <v>4</v>
      </c>
      <c r="C95" s="5">
        <v>2018</v>
      </c>
      <c r="D95" s="5">
        <v>12.8704296861911</v>
      </c>
      <c r="E95">
        <v>12.9233333333333</v>
      </c>
      <c r="F95">
        <v>2.75</v>
      </c>
      <c r="G95">
        <v>5.1725000000000003</v>
      </c>
      <c r="H95">
        <v>-0.82176429033279397</v>
      </c>
      <c r="I95">
        <v>-0.71776366233825695</v>
      </c>
      <c r="J95">
        <v>-0.53814744949340798</v>
      </c>
      <c r="K95">
        <v>-0.29199951887130698</v>
      </c>
      <c r="L95">
        <v>-1.0757360458373999</v>
      </c>
      <c r="M95">
        <v>-0.353723645210266</v>
      </c>
      <c r="N95">
        <v>0.6494559645652771</v>
      </c>
      <c r="O95">
        <v>0.68161994218826294</v>
      </c>
      <c r="P95">
        <v>2.2808303833007813</v>
      </c>
      <c r="Q95">
        <v>1</v>
      </c>
      <c r="R95">
        <v>1</v>
      </c>
      <c r="S95">
        <v>1</v>
      </c>
      <c r="T95">
        <f t="shared" si="2"/>
        <v>9.8675125266961289E-2</v>
      </c>
    </row>
    <row r="96" spans="1:20" x14ac:dyDescent="0.3">
      <c r="A96" s="5" t="s">
        <v>21</v>
      </c>
      <c r="B96" s="5">
        <v>4</v>
      </c>
      <c r="C96" s="5">
        <v>2019</v>
      </c>
      <c r="D96" s="5">
        <v>13.8075410269222</v>
      </c>
      <c r="E96">
        <v>12.740833333333301</v>
      </c>
      <c r="F96">
        <v>2.75</v>
      </c>
      <c r="G96">
        <v>5.0083333333333302</v>
      </c>
      <c r="H96">
        <v>-0.91558414697647095</v>
      </c>
      <c r="I96">
        <v>-0.72651433944702104</v>
      </c>
      <c r="J96">
        <v>-0.57734084129333496</v>
      </c>
      <c r="K96">
        <v>-0.33517915010452298</v>
      </c>
      <c r="L96">
        <v>-1.1004271507263199</v>
      </c>
      <c r="M96">
        <v>-0.33345302939415</v>
      </c>
      <c r="N96">
        <v>0.67242586612701416</v>
      </c>
      <c r="O96">
        <v>0.40636086463928223</v>
      </c>
      <c r="P96">
        <v>2.2808303833007813</v>
      </c>
      <c r="Q96">
        <v>1</v>
      </c>
      <c r="R96">
        <v>1</v>
      </c>
      <c r="S96">
        <v>1</v>
      </c>
      <c r="T96">
        <f t="shared" si="2"/>
        <v>7.281119306657978E-2</v>
      </c>
    </row>
    <row r="97" spans="1:20" x14ac:dyDescent="0.3">
      <c r="A97" s="5" t="s">
        <v>21</v>
      </c>
      <c r="B97" s="5">
        <v>4</v>
      </c>
      <c r="C97" s="5">
        <v>2020</v>
      </c>
      <c r="D97" s="5">
        <v>14.675137976435799</v>
      </c>
      <c r="E97">
        <v>12.525833333333299</v>
      </c>
      <c r="F97">
        <v>1.75</v>
      </c>
      <c r="G97">
        <v>4.6283333333333303</v>
      </c>
      <c r="H97">
        <v>-1.1340978145599401</v>
      </c>
      <c r="I97">
        <v>-0.71337223052978505</v>
      </c>
      <c r="J97">
        <v>-0.41582930088043202</v>
      </c>
      <c r="K97">
        <v>-0.27050289511680597</v>
      </c>
      <c r="L97">
        <v>-1.10039258003235</v>
      </c>
      <c r="M97">
        <v>-0.378492921590805</v>
      </c>
      <c r="N97">
        <v>0.76438796520233154</v>
      </c>
      <c r="O97">
        <v>0.11679266393184662</v>
      </c>
      <c r="P97">
        <v>2.2808303833007813</v>
      </c>
      <c r="Q97">
        <v>1</v>
      </c>
      <c r="R97">
        <v>1</v>
      </c>
      <c r="S97">
        <v>1</v>
      </c>
      <c r="T97">
        <f t="shared" si="2"/>
        <v>6.283500790053366E-2</v>
      </c>
    </row>
    <row r="98" spans="1:20" x14ac:dyDescent="0.3">
      <c r="A98" s="5" t="s">
        <v>21</v>
      </c>
      <c r="B98" s="5">
        <v>4</v>
      </c>
      <c r="C98" s="5">
        <v>2021</v>
      </c>
      <c r="D98" s="5">
        <v>17.821386309360602</v>
      </c>
      <c r="E98">
        <v>12.1875</v>
      </c>
      <c r="F98">
        <v>1.75</v>
      </c>
      <c r="G98">
        <v>4.1375000000000002</v>
      </c>
      <c r="H98">
        <v>-1.1926523447036701</v>
      </c>
      <c r="I98">
        <v>-0.78286319971084595</v>
      </c>
      <c r="J98">
        <v>-0.39551791548728898</v>
      </c>
      <c r="K98">
        <v>-0.32789173722267201</v>
      </c>
      <c r="L98">
        <v>-1.11025655269623</v>
      </c>
      <c r="M98">
        <v>-0.46514230966567999</v>
      </c>
      <c r="N98">
        <v>0.67143585681915285</v>
      </c>
      <c r="O98">
        <v>0.59586084783077242</v>
      </c>
      <c r="P98">
        <v>2.2808303833007813</v>
      </c>
      <c r="Q98">
        <v>1</v>
      </c>
      <c r="R98">
        <v>1</v>
      </c>
      <c r="S98">
        <v>1</v>
      </c>
      <c r="T98">
        <f t="shared" si="2"/>
        <v>0.21439310062888706</v>
      </c>
    </row>
    <row r="99" spans="1:20" x14ac:dyDescent="0.3">
      <c r="A99" s="5" t="s">
        <v>21</v>
      </c>
      <c r="B99" s="5">
        <v>4</v>
      </c>
      <c r="C99" s="5">
        <v>2022</v>
      </c>
      <c r="D99" s="5">
        <v>19.034167660644702</v>
      </c>
      <c r="E99">
        <v>11.9233333333333</v>
      </c>
      <c r="F99">
        <v>3.75</v>
      </c>
      <c r="G99">
        <v>3.9066666666666601</v>
      </c>
      <c r="H99">
        <v>-1.21014869213104</v>
      </c>
      <c r="I99">
        <v>-0.90779858827590898</v>
      </c>
      <c r="J99">
        <v>-0.26285088062286399</v>
      </c>
      <c r="K99">
        <v>-0.29181000590324402</v>
      </c>
      <c r="L99">
        <v>-1.12746357917786</v>
      </c>
      <c r="M99">
        <v>-0.52261376380920399</v>
      </c>
      <c r="N99">
        <v>0.67692738056182855</v>
      </c>
      <c r="O99">
        <v>0.54708346009254449</v>
      </c>
      <c r="P99">
        <v>2.2808303833007813</v>
      </c>
      <c r="Q99">
        <v>1</v>
      </c>
      <c r="R99">
        <v>1</v>
      </c>
      <c r="S99">
        <v>1</v>
      </c>
      <c r="T99">
        <f t="shared" si="2"/>
        <v>6.8052020770521776E-2</v>
      </c>
    </row>
    <row r="100" spans="1:20" x14ac:dyDescent="0.3">
      <c r="A100" s="5" t="s">
        <v>21</v>
      </c>
      <c r="B100" s="5">
        <v>4</v>
      </c>
      <c r="C100" s="5">
        <v>2023</v>
      </c>
      <c r="D100" s="5">
        <v>19.144583788076201</v>
      </c>
      <c r="E100">
        <v>11.9616666666666</v>
      </c>
      <c r="F100">
        <v>5</v>
      </c>
      <c r="G100">
        <v>4.2074999999999996</v>
      </c>
      <c r="H100">
        <v>-1.1216129064559901</v>
      </c>
      <c r="I100">
        <v>-0.89716726541519198</v>
      </c>
      <c r="J100">
        <v>-0.24436493217945099</v>
      </c>
      <c r="K100">
        <v>-0.29035493731498702</v>
      </c>
      <c r="L100">
        <v>-1.0752770900726301</v>
      </c>
      <c r="M100">
        <v>-0.53369927406311002</v>
      </c>
      <c r="N100">
        <v>0.68692660665512084</v>
      </c>
      <c r="O100">
        <v>0.46954355573654177</v>
      </c>
      <c r="P100">
        <v>2.2808303833007813</v>
      </c>
      <c r="Q100">
        <v>1</v>
      </c>
      <c r="R100">
        <v>1</v>
      </c>
      <c r="S100">
        <v>1</v>
      </c>
      <c r="T100">
        <f t="shared" si="2"/>
        <v>5.80094330364636E-3</v>
      </c>
    </row>
    <row r="101" spans="1:20" x14ac:dyDescent="0.3">
      <c r="A101" s="5" t="s">
        <v>21</v>
      </c>
      <c r="B101" s="5">
        <v>4</v>
      </c>
      <c r="C101" s="5">
        <v>2024</v>
      </c>
      <c r="D101" s="5">
        <v>19.120672796262902</v>
      </c>
      <c r="E101">
        <v>12.395</v>
      </c>
      <c r="F101">
        <v>4.5</v>
      </c>
      <c r="G101">
        <v>4.9341666666666599</v>
      </c>
      <c r="H101">
        <v>-1.1148191809654222</v>
      </c>
      <c r="I101">
        <v>-0.80554312467575051</v>
      </c>
      <c r="J101">
        <v>-0.3791807740926742</v>
      </c>
      <c r="K101">
        <v>-0.30314774513244636</v>
      </c>
      <c r="L101">
        <v>-1.1027633905410779</v>
      </c>
      <c r="M101">
        <v>-0.44668025970458974</v>
      </c>
      <c r="N101">
        <v>0.69442073507308966</v>
      </c>
      <c r="O101">
        <v>0.4271282784461975</v>
      </c>
      <c r="P101">
        <v>2.2808303833007813</v>
      </c>
      <c r="Q101">
        <v>1</v>
      </c>
      <c r="R101">
        <v>1</v>
      </c>
      <c r="S101">
        <v>1</v>
      </c>
      <c r="T101">
        <f t="shared" si="2"/>
        <v>-1.2489690075263677E-3</v>
      </c>
    </row>
    <row r="102" spans="1:20" x14ac:dyDescent="0.3">
      <c r="A102" s="5" t="s">
        <v>20</v>
      </c>
      <c r="B102" s="5">
        <v>5</v>
      </c>
      <c r="C102" s="5">
        <v>2000</v>
      </c>
      <c r="D102" s="5">
        <v>1.01403249008326</v>
      </c>
      <c r="E102">
        <v>16.928333333333299</v>
      </c>
      <c r="F102" s="2">
        <f>(15.2+17.5)/2</f>
        <v>16.350000000000001</v>
      </c>
      <c r="G102">
        <v>8.2566666666666606</v>
      </c>
      <c r="H102">
        <v>-7.3860302567481995E-2</v>
      </c>
      <c r="I102">
        <v>0.27618193626403797</v>
      </c>
      <c r="J102">
        <v>-0.200209870934486</v>
      </c>
      <c r="K102">
        <v>0.22049419581890101</v>
      </c>
      <c r="L102">
        <v>-0.42650955915451</v>
      </c>
      <c r="M102">
        <v>0.25845000147819502</v>
      </c>
      <c r="N102">
        <v>0.26187941431999207</v>
      </c>
      <c r="O102">
        <v>0.48355931043624878</v>
      </c>
      <c r="P102">
        <v>1.0219684839248657</v>
      </c>
      <c r="Q102">
        <v>0.70170581340789795</v>
      </c>
      <c r="R102">
        <v>1</v>
      </c>
      <c r="S102">
        <v>0</v>
      </c>
    </row>
    <row r="103" spans="1:20" x14ac:dyDescent="0.3">
      <c r="A103" s="5" t="s">
        <v>20</v>
      </c>
      <c r="B103" s="5">
        <v>5</v>
      </c>
      <c r="C103" s="5">
        <v>2001</v>
      </c>
      <c r="D103" s="5">
        <v>1.2745527335917499</v>
      </c>
      <c r="E103">
        <v>12.795</v>
      </c>
      <c r="F103" s="2">
        <f>(11+13.5)/2</f>
        <v>12.25</v>
      </c>
      <c r="G103">
        <v>6.2341666666666598</v>
      </c>
      <c r="H103">
        <v>-0.16221628338098551</v>
      </c>
      <c r="I103">
        <v>0.24728424102067947</v>
      </c>
      <c r="J103">
        <v>-0.12925906665623171</v>
      </c>
      <c r="K103">
        <v>0.32947931438684452</v>
      </c>
      <c r="L103">
        <v>-0.387858986854553</v>
      </c>
      <c r="M103">
        <v>0.302246734499931</v>
      </c>
      <c r="N103">
        <v>0.33492964506149292</v>
      </c>
      <c r="O103">
        <v>0.38183298707008362</v>
      </c>
      <c r="P103">
        <v>1.0219684839248657</v>
      </c>
      <c r="Q103">
        <v>0.70170581340789795</v>
      </c>
      <c r="R103">
        <v>1</v>
      </c>
      <c r="S103">
        <v>0</v>
      </c>
      <c r="T103">
        <f>((D103-D102)/D102)</f>
        <v>0.25691508512424405</v>
      </c>
    </row>
    <row r="104" spans="1:20" x14ac:dyDescent="0.3">
      <c r="A104" s="5" t="s">
        <v>20</v>
      </c>
      <c r="B104" s="5">
        <v>5</v>
      </c>
      <c r="C104" s="5">
        <v>2002</v>
      </c>
      <c r="D104" s="5">
        <v>1.3605413963708599</v>
      </c>
      <c r="E104">
        <v>8.2108333333333299</v>
      </c>
      <c r="F104">
        <v>8.25</v>
      </c>
      <c r="G104">
        <v>3.7574999999999998</v>
      </c>
      <c r="H104">
        <v>-0.25057226419448902</v>
      </c>
      <c r="I104">
        <v>0.218386545777321</v>
      </c>
      <c r="J104">
        <v>-5.8308262377977399E-2</v>
      </c>
      <c r="K104">
        <v>0.43846443295478799</v>
      </c>
      <c r="L104">
        <v>-0.349208414554596</v>
      </c>
      <c r="M104">
        <v>0.34604346752166698</v>
      </c>
      <c r="N104">
        <v>0.32350340485572815</v>
      </c>
      <c r="O104">
        <v>0.23791104555130005</v>
      </c>
      <c r="P104">
        <v>-5.7141531258821487E-2</v>
      </c>
      <c r="Q104">
        <v>0.44600480794906616</v>
      </c>
      <c r="R104">
        <v>1</v>
      </c>
      <c r="S104">
        <v>0</v>
      </c>
      <c r="T104">
        <f t="shared" ref="T104:T126" si="3">((D104-D103)/D103)</f>
        <v>6.7465755251090997E-2</v>
      </c>
    </row>
    <row r="105" spans="1:20" x14ac:dyDescent="0.3">
      <c r="A105" s="5" t="s">
        <v>20</v>
      </c>
      <c r="B105" s="5">
        <v>5</v>
      </c>
      <c r="C105" s="5">
        <v>2003</v>
      </c>
      <c r="D105" s="5">
        <v>2.1753885590202202</v>
      </c>
      <c r="E105">
        <v>7.0225</v>
      </c>
      <c r="F105">
        <v>6.12</v>
      </c>
      <c r="G105">
        <v>3.0858333333333299</v>
      </c>
      <c r="H105">
        <v>-0.24158713221549999</v>
      </c>
      <c r="I105">
        <v>0.131819322705269</v>
      </c>
      <c r="J105">
        <v>-0.11687808483839</v>
      </c>
      <c r="K105">
        <v>0.33537805080413802</v>
      </c>
      <c r="L105">
        <v>-0.37790271639823902</v>
      </c>
      <c r="M105">
        <v>0.34693711996078502</v>
      </c>
      <c r="N105">
        <v>0.27442783117294312</v>
      </c>
      <c r="O105">
        <v>0.24264074862003326</v>
      </c>
      <c r="P105">
        <v>-5.7141531258821487E-2</v>
      </c>
      <c r="Q105">
        <v>0.44600480794906616</v>
      </c>
      <c r="R105">
        <v>1</v>
      </c>
      <c r="S105">
        <v>0</v>
      </c>
      <c r="T105">
        <f t="shared" si="3"/>
        <v>0.59891390649553389</v>
      </c>
    </row>
    <row r="106" spans="1:20" x14ac:dyDescent="0.3">
      <c r="A106" s="5" t="s">
        <v>20</v>
      </c>
      <c r="B106" s="5">
        <v>5</v>
      </c>
      <c r="C106" s="5">
        <v>2004</v>
      </c>
      <c r="D106" s="5">
        <v>2.4237628054568701</v>
      </c>
      <c r="E106">
        <v>7.4383333333333299</v>
      </c>
      <c r="F106">
        <v>8.75</v>
      </c>
      <c r="G106">
        <v>2.6949999999999998</v>
      </c>
      <c r="H106">
        <v>-0.389334857463837</v>
      </c>
      <c r="I106">
        <v>7.5833812355995206E-2</v>
      </c>
      <c r="J106">
        <v>-0.21408244967460599</v>
      </c>
      <c r="K106">
        <v>0.41024759411811801</v>
      </c>
      <c r="L106">
        <v>-0.40991047024726901</v>
      </c>
      <c r="M106">
        <v>0.31982761621475198</v>
      </c>
      <c r="N106">
        <v>0.41040056943893433</v>
      </c>
      <c r="O106">
        <v>0.28049281239509583</v>
      </c>
      <c r="P106">
        <v>1.0219684839248657</v>
      </c>
      <c r="Q106">
        <v>0.70170581340789795</v>
      </c>
      <c r="R106">
        <v>1</v>
      </c>
      <c r="S106">
        <v>0</v>
      </c>
      <c r="T106">
        <f t="shared" si="3"/>
        <v>0.1141746587784372</v>
      </c>
    </row>
    <row r="107" spans="1:20" x14ac:dyDescent="0.3">
      <c r="A107" s="5" t="s">
        <v>20</v>
      </c>
      <c r="B107" s="5">
        <v>5</v>
      </c>
      <c r="C107" s="5">
        <v>2005</v>
      </c>
      <c r="D107" s="5">
        <v>2.4784806585480799</v>
      </c>
      <c r="E107">
        <v>9.6949999999999896</v>
      </c>
      <c r="F107">
        <v>8.27</v>
      </c>
      <c r="G107">
        <v>3.4566666666666599</v>
      </c>
      <c r="H107">
        <v>-0.34417954087257402</v>
      </c>
      <c r="I107">
        <v>3.1416982412338298E-2</v>
      </c>
      <c r="J107">
        <v>-0.44582086801528897</v>
      </c>
      <c r="K107">
        <v>0.16098135709762601</v>
      </c>
      <c r="L107">
        <v>-0.38298952579498302</v>
      </c>
      <c r="M107">
        <v>0.19806551933288599</v>
      </c>
      <c r="N107">
        <v>0.35973981022834778</v>
      </c>
      <c r="O107">
        <v>0.5552823543548584</v>
      </c>
      <c r="P107">
        <v>1.0219684839248657</v>
      </c>
      <c r="Q107">
        <v>0.70170581340789795</v>
      </c>
      <c r="R107">
        <v>1</v>
      </c>
      <c r="S107">
        <v>0</v>
      </c>
      <c r="T107">
        <f t="shared" si="3"/>
        <v>2.2575580815093699E-2</v>
      </c>
    </row>
    <row r="108" spans="1:20" x14ac:dyDescent="0.3">
      <c r="A108" s="5" t="s">
        <v>20</v>
      </c>
      <c r="B108" s="5">
        <v>5</v>
      </c>
      <c r="C108" s="5">
        <v>2006</v>
      </c>
      <c r="D108" s="5">
        <v>2.6015603809955898</v>
      </c>
      <c r="E108">
        <v>7.5118347806232197</v>
      </c>
      <c r="F108">
        <v>7.02</v>
      </c>
      <c r="G108">
        <v>3.2966666666666602</v>
      </c>
      <c r="H108">
        <v>-0.32512518763542197</v>
      </c>
      <c r="I108">
        <v>5.0471160560846301E-2</v>
      </c>
      <c r="J108">
        <v>-0.63688844442367598</v>
      </c>
      <c r="K108">
        <v>0.34668543934822099</v>
      </c>
      <c r="L108">
        <v>-0.47254627943038902</v>
      </c>
      <c r="M108">
        <v>0.15047441422939301</v>
      </c>
      <c r="N108">
        <v>0.27216652035713196</v>
      </c>
      <c r="O108">
        <v>0.84201514720916748</v>
      </c>
      <c r="P108">
        <v>1.0219684839248657</v>
      </c>
      <c r="Q108">
        <v>0.70170581340789795</v>
      </c>
      <c r="R108">
        <v>1</v>
      </c>
      <c r="S108">
        <v>0</v>
      </c>
      <c r="T108">
        <f t="shared" si="3"/>
        <v>4.9659343526857046E-2</v>
      </c>
    </row>
    <row r="109" spans="1:20" x14ac:dyDescent="0.3">
      <c r="A109" s="5" t="s">
        <v>20</v>
      </c>
      <c r="B109" s="5">
        <v>5</v>
      </c>
      <c r="C109" s="5">
        <v>2007</v>
      </c>
      <c r="D109" s="5">
        <v>2.4961983468845701</v>
      </c>
      <c r="E109">
        <v>7.5608333333333304</v>
      </c>
      <c r="F109">
        <v>7.57</v>
      </c>
      <c r="G109">
        <v>3.2050000000000001</v>
      </c>
      <c r="H109">
        <v>-0.34145736694335899</v>
      </c>
      <c r="I109">
        <v>0.136410132050514</v>
      </c>
      <c r="J109">
        <v>-0.72985160350799605</v>
      </c>
      <c r="K109">
        <v>0.36822804808616599</v>
      </c>
      <c r="L109">
        <v>-0.54293221235275302</v>
      </c>
      <c r="M109">
        <v>0.121899016201496</v>
      </c>
      <c r="N109">
        <v>0.41823256015777588</v>
      </c>
      <c r="O109">
        <v>0.918556809425354</v>
      </c>
      <c r="P109">
        <v>1.0219684839248657</v>
      </c>
      <c r="Q109">
        <v>0.70170581340789795</v>
      </c>
      <c r="R109">
        <v>1</v>
      </c>
      <c r="S109">
        <v>0</v>
      </c>
      <c r="T109">
        <f t="shared" si="3"/>
        <v>-4.0499553606631572E-2</v>
      </c>
    </row>
    <row r="110" spans="1:20" x14ac:dyDescent="0.3">
      <c r="A110" s="5" t="s">
        <v>20</v>
      </c>
      <c r="B110" s="5">
        <v>5</v>
      </c>
      <c r="C110" s="5">
        <v>2008</v>
      </c>
      <c r="D110" s="5">
        <v>2.3315087170109599</v>
      </c>
      <c r="E110">
        <v>8.7057678566322405</v>
      </c>
      <c r="F110">
        <v>8.25</v>
      </c>
      <c r="G110">
        <v>3.0425</v>
      </c>
      <c r="H110">
        <v>-0.30984988808631903</v>
      </c>
      <c r="I110">
        <v>0.16068996489048001</v>
      </c>
      <c r="J110">
        <v>-0.80401235818862904</v>
      </c>
      <c r="K110">
        <v>0.312569350004196</v>
      </c>
      <c r="L110">
        <v>-0.68928354978561401</v>
      </c>
      <c r="M110">
        <v>0.13492757081985499</v>
      </c>
      <c r="N110">
        <v>0.15145260095596313</v>
      </c>
      <c r="O110">
        <v>0.69386959075927734</v>
      </c>
      <c r="P110">
        <v>1.0219684839248657</v>
      </c>
      <c r="Q110">
        <v>0.70170581340789795</v>
      </c>
      <c r="R110">
        <v>1</v>
      </c>
      <c r="S110">
        <v>0</v>
      </c>
      <c r="T110">
        <f t="shared" si="3"/>
        <v>-6.5976179368580384E-2</v>
      </c>
    </row>
    <row r="111" spans="1:20" x14ac:dyDescent="0.3">
      <c r="A111" s="5" t="s">
        <v>20</v>
      </c>
      <c r="B111" s="5">
        <v>5</v>
      </c>
      <c r="C111" s="5">
        <v>2009</v>
      </c>
      <c r="D111" s="5">
        <v>2.42656562220423</v>
      </c>
      <c r="E111">
        <v>7.0650000000000004</v>
      </c>
      <c r="F111">
        <v>4.5</v>
      </c>
      <c r="G111">
        <v>2.0108333333333301</v>
      </c>
      <c r="H111">
        <v>-0.36596012115478499</v>
      </c>
      <c r="I111">
        <v>0.14151577651500699</v>
      </c>
      <c r="J111">
        <v>-0.68662780523300204</v>
      </c>
      <c r="K111">
        <v>0.17768290638923601</v>
      </c>
      <c r="L111">
        <v>-0.56286883354187001</v>
      </c>
      <c r="M111">
        <v>0.20003284513950301</v>
      </c>
      <c r="N111">
        <v>0.23542974889278412</v>
      </c>
      <c r="O111">
        <v>0.57032221555709839</v>
      </c>
      <c r="P111">
        <v>1.0219684839248657</v>
      </c>
      <c r="Q111">
        <v>0.70170581340789795</v>
      </c>
      <c r="R111">
        <v>1</v>
      </c>
      <c r="S111">
        <v>0</v>
      </c>
      <c r="T111">
        <f t="shared" si="3"/>
        <v>4.0770555348870828E-2</v>
      </c>
    </row>
    <row r="112" spans="1:20" x14ac:dyDescent="0.3">
      <c r="A112" s="5" t="s">
        <v>20</v>
      </c>
      <c r="B112" s="5">
        <v>5</v>
      </c>
      <c r="C112" s="5">
        <v>2010</v>
      </c>
      <c r="D112" s="5">
        <v>2.0596361026183798</v>
      </c>
      <c r="E112">
        <v>5.2808333333333302</v>
      </c>
      <c r="F112">
        <v>4.5</v>
      </c>
      <c r="G112">
        <v>1.2124999999999999</v>
      </c>
      <c r="H112">
        <v>-0.43974813818931602</v>
      </c>
      <c r="I112">
        <v>9.6291385591030093E-2</v>
      </c>
      <c r="J112">
        <v>-0.72646343708038297</v>
      </c>
      <c r="K112">
        <v>0.15633778274059301</v>
      </c>
      <c r="L112">
        <v>-0.55203133821487405</v>
      </c>
      <c r="M112">
        <v>0.178501576185226</v>
      </c>
      <c r="N112">
        <v>0.31321492791175842</v>
      </c>
      <c r="O112">
        <v>0.33127486705780029</v>
      </c>
      <c r="P112">
        <v>1.0219684839248657</v>
      </c>
      <c r="Q112">
        <v>0.70170581340789795</v>
      </c>
      <c r="R112">
        <v>1</v>
      </c>
      <c r="S112">
        <v>0</v>
      </c>
      <c r="T112">
        <f t="shared" si="3"/>
        <v>-0.15121351601962482</v>
      </c>
    </row>
    <row r="113" spans="1:20" x14ac:dyDescent="0.3">
      <c r="A113" s="5" t="s">
        <v>20</v>
      </c>
      <c r="B113" s="5">
        <v>5</v>
      </c>
      <c r="C113" s="5">
        <v>2011</v>
      </c>
      <c r="D113" s="5">
        <v>1.9682477739466799</v>
      </c>
      <c r="E113">
        <v>4.9108333333333301</v>
      </c>
      <c r="F113">
        <v>4.5</v>
      </c>
      <c r="G113">
        <v>0.95583333333333298</v>
      </c>
      <c r="H113">
        <v>-0.47473776340484602</v>
      </c>
      <c r="I113">
        <v>0.25232720375061002</v>
      </c>
      <c r="J113">
        <v>-0.66776859760284402</v>
      </c>
      <c r="K113">
        <v>0.184377461671829</v>
      </c>
      <c r="L113">
        <v>-0.54988771677017201</v>
      </c>
      <c r="M113">
        <v>0.12169187515974</v>
      </c>
      <c r="N113">
        <v>0.2092183530330658</v>
      </c>
      <c r="O113">
        <v>0.37194818258285522</v>
      </c>
      <c r="P113">
        <v>1.0219684839248657</v>
      </c>
      <c r="Q113">
        <v>0.70170581340789795</v>
      </c>
      <c r="R113">
        <v>1</v>
      </c>
      <c r="S113">
        <v>0</v>
      </c>
      <c r="T113">
        <f t="shared" si="3"/>
        <v>-4.4371104466230459E-2</v>
      </c>
    </row>
    <row r="114" spans="1:20" x14ac:dyDescent="0.3">
      <c r="A114" s="5" t="s">
        <v>20</v>
      </c>
      <c r="B114" s="5">
        <v>5</v>
      </c>
      <c r="C114" s="5">
        <v>2012</v>
      </c>
      <c r="D114" s="5">
        <v>1.9166918489656</v>
      </c>
      <c r="E114">
        <v>4.6808333333333296</v>
      </c>
      <c r="F114">
        <v>4.5</v>
      </c>
      <c r="G114">
        <v>1.0816666666666599</v>
      </c>
      <c r="H114">
        <v>-0.484527587890625</v>
      </c>
      <c r="I114">
        <v>0.29619902372360202</v>
      </c>
      <c r="J114">
        <v>-0.66245418787002597</v>
      </c>
      <c r="K114">
        <v>0.41874319314956698</v>
      </c>
      <c r="L114">
        <v>-0.53518009185791005</v>
      </c>
      <c r="M114">
        <v>0.112745344638824</v>
      </c>
      <c r="N114">
        <v>0.23728568851947784</v>
      </c>
      <c r="O114">
        <v>0.23679739236831665</v>
      </c>
      <c r="P114">
        <v>1.0219684839248657</v>
      </c>
      <c r="Q114">
        <v>0.70170581340789795</v>
      </c>
      <c r="R114">
        <v>1</v>
      </c>
      <c r="S114">
        <v>0</v>
      </c>
      <c r="T114">
        <f t="shared" si="3"/>
        <v>-2.619381851386594E-2</v>
      </c>
    </row>
    <row r="115" spans="1:20" x14ac:dyDescent="0.3">
      <c r="A115" s="5" t="s">
        <v>20</v>
      </c>
      <c r="B115" s="5">
        <v>5</v>
      </c>
      <c r="C115" s="5">
        <v>2013</v>
      </c>
      <c r="D115" s="5">
        <v>1.80619576724803</v>
      </c>
      <c r="E115">
        <v>4.2708333333333304</v>
      </c>
      <c r="F115">
        <v>3.5</v>
      </c>
      <c r="G115">
        <v>1.3316666666666599</v>
      </c>
      <c r="H115">
        <v>-0.59189856052398704</v>
      </c>
      <c r="I115">
        <v>0.30235099792480502</v>
      </c>
      <c r="J115">
        <v>-0.71422380208969105</v>
      </c>
      <c r="K115">
        <v>0.41815519332885698</v>
      </c>
      <c r="L115">
        <v>-0.54941642284393299</v>
      </c>
      <c r="M115">
        <v>0.108349166810513</v>
      </c>
      <c r="N115">
        <v>0.25438719987869263</v>
      </c>
      <c r="O115">
        <v>0.43956506252288818</v>
      </c>
      <c r="P115">
        <v>1.0219684839248657</v>
      </c>
      <c r="Q115">
        <v>0.70170581340789795</v>
      </c>
      <c r="R115">
        <v>1</v>
      </c>
      <c r="S115">
        <v>0</v>
      </c>
      <c r="T115">
        <f t="shared" si="3"/>
        <v>-5.7649372160267956E-2</v>
      </c>
    </row>
    <row r="116" spans="1:20" x14ac:dyDescent="0.3">
      <c r="A116" s="5" t="s">
        <v>20</v>
      </c>
      <c r="B116" s="5">
        <v>5</v>
      </c>
      <c r="C116" s="5">
        <v>2014</v>
      </c>
      <c r="D116" s="5">
        <v>1.87295707038479</v>
      </c>
      <c r="E116">
        <v>3.5516666666666601</v>
      </c>
      <c r="F116">
        <v>3</v>
      </c>
      <c r="G116">
        <v>0.83999999999999897</v>
      </c>
      <c r="H116">
        <v>-0.84301882982253995</v>
      </c>
      <c r="I116">
        <v>0.13397090137004899</v>
      </c>
      <c r="J116">
        <v>-0.85391879081726096</v>
      </c>
      <c r="K116">
        <v>0.35943821072578402</v>
      </c>
      <c r="L116">
        <v>-0.40668800473213201</v>
      </c>
      <c r="M116">
        <v>2.7532162494026097E-4</v>
      </c>
      <c r="N116">
        <v>0.29280373454093933</v>
      </c>
      <c r="O116">
        <v>0.31320255994796753</v>
      </c>
      <c r="P116">
        <v>1.0219684839248657</v>
      </c>
      <c r="Q116">
        <v>0.70170581340789795</v>
      </c>
      <c r="R116">
        <v>1</v>
      </c>
      <c r="S116">
        <v>0</v>
      </c>
      <c r="T116">
        <f t="shared" si="3"/>
        <v>3.6962384890581026E-2</v>
      </c>
    </row>
    <row r="117" spans="1:20" x14ac:dyDescent="0.3">
      <c r="A117" s="5" t="s">
        <v>20</v>
      </c>
      <c r="B117" s="5">
        <v>5</v>
      </c>
      <c r="C117" s="5">
        <v>2015</v>
      </c>
      <c r="D117" s="5">
        <v>2.2109148175279998</v>
      </c>
      <c r="E117">
        <v>3.4391666666666598</v>
      </c>
      <c r="F117">
        <v>3.25</v>
      </c>
      <c r="G117">
        <v>0.58916666666666595</v>
      </c>
      <c r="H117">
        <v>-0.88896739482879605</v>
      </c>
      <c r="I117">
        <v>0.117517560720444</v>
      </c>
      <c r="J117">
        <v>-0.801780104637146</v>
      </c>
      <c r="K117">
        <v>0.27632501721382102</v>
      </c>
      <c r="L117">
        <v>-0.45476585626602201</v>
      </c>
      <c r="M117">
        <v>-7.5340434908866896E-2</v>
      </c>
      <c r="N117">
        <v>0.32464697957038879</v>
      </c>
      <c r="O117">
        <v>0.29555210471153259</v>
      </c>
      <c r="P117">
        <v>1.0219684839248657</v>
      </c>
      <c r="Q117">
        <v>0.70170581340789795</v>
      </c>
      <c r="R117">
        <v>1</v>
      </c>
      <c r="S117">
        <v>0</v>
      </c>
      <c r="T117">
        <f t="shared" si="3"/>
        <v>0.18044073325918678</v>
      </c>
    </row>
    <row r="118" spans="1:20" x14ac:dyDescent="0.3">
      <c r="A118" s="5" t="s">
        <v>20</v>
      </c>
      <c r="B118" s="5">
        <v>5</v>
      </c>
      <c r="C118" s="5">
        <v>2016</v>
      </c>
      <c r="D118" s="5">
        <v>2.6369300778272402</v>
      </c>
      <c r="E118">
        <v>4.7541666666666602</v>
      </c>
      <c r="F118">
        <v>5.75</v>
      </c>
      <c r="G118">
        <v>1.2875000000000001</v>
      </c>
      <c r="H118">
        <v>-0.85066229104995705</v>
      </c>
      <c r="I118">
        <v>2.7610577642917598E-2</v>
      </c>
      <c r="J118">
        <v>-0.63371813297271695</v>
      </c>
      <c r="K118">
        <v>0.199013441801071</v>
      </c>
      <c r="L118">
        <v>-0.579800665378571</v>
      </c>
      <c r="M118">
        <v>-6.7450769245624501E-2</v>
      </c>
      <c r="N118">
        <v>0.19186873733997345</v>
      </c>
      <c r="O118">
        <v>4.4610161334276199E-2</v>
      </c>
      <c r="P118">
        <v>1.0219684839248657</v>
      </c>
      <c r="Q118">
        <v>0.70170581340789795</v>
      </c>
      <c r="R118">
        <v>1</v>
      </c>
      <c r="S118">
        <v>0</v>
      </c>
      <c r="T118">
        <f t="shared" si="3"/>
        <v>0.19268732423421159</v>
      </c>
    </row>
    <row r="119" spans="1:20" x14ac:dyDescent="0.3">
      <c r="A119" s="5" t="s">
        <v>20</v>
      </c>
      <c r="B119" s="5">
        <v>5</v>
      </c>
      <c r="C119" s="5">
        <v>2017</v>
      </c>
      <c r="D119" s="5">
        <v>2.76495197157249</v>
      </c>
      <c r="E119">
        <v>7.3324999999999996</v>
      </c>
      <c r="F119">
        <v>7.25</v>
      </c>
      <c r="G119">
        <v>2.6958333333333302</v>
      </c>
      <c r="H119">
        <v>-0.95242953300476096</v>
      </c>
      <c r="I119">
        <v>-6.5302550792694106E-2</v>
      </c>
      <c r="J119">
        <v>-0.80641978979110696</v>
      </c>
      <c r="K119">
        <v>0.18206879496574399</v>
      </c>
      <c r="L119">
        <v>-0.58464872837066695</v>
      </c>
      <c r="M119">
        <v>-8.9054845273494707E-2</v>
      </c>
      <c r="N119">
        <v>0.20344297587871552</v>
      </c>
      <c r="O119">
        <v>4.579920694231987E-2</v>
      </c>
      <c r="P119">
        <v>1.0219684839248657</v>
      </c>
      <c r="Q119">
        <v>0.70170581340789795</v>
      </c>
      <c r="R119">
        <v>1</v>
      </c>
      <c r="S119">
        <v>0</v>
      </c>
      <c r="T119">
        <f t="shared" si="3"/>
        <v>4.85495974359458E-2</v>
      </c>
    </row>
    <row r="120" spans="1:20" x14ac:dyDescent="0.3">
      <c r="A120" s="5" t="s">
        <v>20</v>
      </c>
      <c r="B120" s="5">
        <v>5</v>
      </c>
      <c r="C120" s="5">
        <v>2018</v>
      </c>
      <c r="D120" s="5">
        <v>2.90745049971046</v>
      </c>
      <c r="E120">
        <v>8.0399999999999991</v>
      </c>
      <c r="F120">
        <v>8.25</v>
      </c>
      <c r="G120">
        <v>3.2708333333333299</v>
      </c>
      <c r="H120">
        <v>-0.94916355609893799</v>
      </c>
      <c r="I120">
        <v>-0.29285061359405501</v>
      </c>
      <c r="J120">
        <v>-0.67384701967239402</v>
      </c>
      <c r="K120">
        <v>8.4375463426113101E-2</v>
      </c>
      <c r="L120">
        <v>-0.641221523284912</v>
      </c>
      <c r="M120">
        <v>-8.6849993094801903E-3</v>
      </c>
      <c r="N120">
        <v>0.19609987735748291</v>
      </c>
      <c r="O120">
        <v>2.3701926693320274E-2</v>
      </c>
      <c r="P120">
        <v>1.0219684839248657</v>
      </c>
      <c r="Q120">
        <v>0.70170581340789795</v>
      </c>
      <c r="R120">
        <v>1</v>
      </c>
      <c r="S120">
        <v>0</v>
      </c>
      <c r="T120">
        <f t="shared" si="3"/>
        <v>5.1537433417669073E-2</v>
      </c>
    </row>
    <row r="121" spans="1:20" x14ac:dyDescent="0.3">
      <c r="A121" s="5" t="s">
        <v>20</v>
      </c>
      <c r="B121" s="5">
        <v>5</v>
      </c>
      <c r="C121" s="5">
        <v>2019</v>
      </c>
      <c r="D121" s="5">
        <v>3.0544688322776801</v>
      </c>
      <c r="E121">
        <v>8.42916666666666</v>
      </c>
      <c r="F121">
        <v>7.25</v>
      </c>
      <c r="G121">
        <v>3.5266666666666602</v>
      </c>
      <c r="H121">
        <v>-0.91744977235794101</v>
      </c>
      <c r="I121">
        <v>-0.30668485164642301</v>
      </c>
      <c r="J121">
        <v>-0.84186917543411299</v>
      </c>
      <c r="K121">
        <v>1.25951962545514E-2</v>
      </c>
      <c r="L121">
        <v>-0.65791845321655296</v>
      </c>
      <c r="M121">
        <v>8.5709644481539692E-3</v>
      </c>
      <c r="N121">
        <v>0.28019767999649048</v>
      </c>
      <c r="O121">
        <v>4.6889275312423706E-2</v>
      </c>
      <c r="P121">
        <v>1.0219684839248657</v>
      </c>
      <c r="Q121">
        <v>0.70170581340789795</v>
      </c>
      <c r="R121">
        <v>1</v>
      </c>
      <c r="S121">
        <v>0</v>
      </c>
      <c r="T121">
        <f t="shared" si="3"/>
        <v>5.0566065555324495E-2</v>
      </c>
    </row>
    <row r="122" spans="1:20" x14ac:dyDescent="0.3">
      <c r="A122" s="5" t="s">
        <v>20</v>
      </c>
      <c r="B122" s="5">
        <v>5</v>
      </c>
      <c r="C122" s="5">
        <v>2020</v>
      </c>
      <c r="D122" s="5">
        <v>3.9228468548330602</v>
      </c>
      <c r="E122">
        <v>6.3416666666666597</v>
      </c>
      <c r="F122">
        <v>4.25</v>
      </c>
      <c r="G122">
        <v>1.46333333333333</v>
      </c>
      <c r="H122">
        <v>-0.92163020372390703</v>
      </c>
      <c r="I122">
        <v>-0.27033868432045</v>
      </c>
      <c r="J122">
        <v>-0.79145574569702104</v>
      </c>
      <c r="K122">
        <v>-1.29100447520614E-2</v>
      </c>
      <c r="L122">
        <v>-0.64218217134475697</v>
      </c>
      <c r="M122">
        <v>-2.7388218790292702E-2</v>
      </c>
      <c r="N122">
        <v>0.11880913376808167</v>
      </c>
      <c r="O122">
        <v>5.6916773319244385E-2</v>
      </c>
      <c r="P122">
        <v>1.0219684839248657</v>
      </c>
      <c r="Q122">
        <v>0.70170581340789795</v>
      </c>
      <c r="R122">
        <v>1</v>
      </c>
      <c r="S122">
        <v>0</v>
      </c>
      <c r="T122">
        <f t="shared" si="3"/>
        <v>0.28429755556151515</v>
      </c>
    </row>
    <row r="123" spans="1:20" x14ac:dyDescent="0.3">
      <c r="A123" s="5" t="s">
        <v>20</v>
      </c>
      <c r="B123" s="5">
        <v>5</v>
      </c>
      <c r="C123" s="5">
        <v>2021</v>
      </c>
      <c r="D123" s="5">
        <v>4.1826148147437996</v>
      </c>
      <c r="E123">
        <v>4.8916666666666604</v>
      </c>
      <c r="F123">
        <v>5.5</v>
      </c>
      <c r="G123">
        <v>0.64500000000000002</v>
      </c>
      <c r="H123">
        <v>-1.02063989639282</v>
      </c>
      <c r="I123">
        <v>-0.34354379773139998</v>
      </c>
      <c r="J123">
        <v>-0.68761587142944303</v>
      </c>
      <c r="K123">
        <v>-0.25137445330619801</v>
      </c>
      <c r="L123">
        <v>-0.80799651145935103</v>
      </c>
      <c r="M123">
        <v>-7.7413953840732602E-2</v>
      </c>
      <c r="N123">
        <v>0.19808368086814881</v>
      </c>
      <c r="O123">
        <v>4.358346872031689E-2</v>
      </c>
      <c r="P123">
        <v>1.0219684839248657</v>
      </c>
      <c r="Q123">
        <v>0.70170581340789795</v>
      </c>
      <c r="R123">
        <v>1</v>
      </c>
      <c r="S123">
        <v>0</v>
      </c>
      <c r="T123">
        <f t="shared" si="3"/>
        <v>6.6219245747689032E-2</v>
      </c>
    </row>
    <row r="124" spans="1:20" x14ac:dyDescent="0.3">
      <c r="A124" s="5" t="s">
        <v>20</v>
      </c>
      <c r="B124" s="5">
        <v>5</v>
      </c>
      <c r="C124" s="5">
        <v>2022</v>
      </c>
      <c r="D124" s="5">
        <v>4.1895332462470201</v>
      </c>
      <c r="E124">
        <v>8.17916666666666</v>
      </c>
      <c r="F124">
        <v>10.5</v>
      </c>
      <c r="G124">
        <v>2.5733333333333301</v>
      </c>
      <c r="H124">
        <v>-1.01208603382111</v>
      </c>
      <c r="I124">
        <v>-0.28172352910041798</v>
      </c>
      <c r="J124">
        <v>-0.68926811218261697</v>
      </c>
      <c r="K124">
        <v>-0.14830949902534499</v>
      </c>
      <c r="L124">
        <v>-0.86942505836486805</v>
      </c>
      <c r="M124">
        <v>-0.11975674331188201</v>
      </c>
      <c r="N124">
        <v>0.19932666957378387</v>
      </c>
      <c r="O124">
        <v>4.3378130197525025E-2</v>
      </c>
      <c r="P124">
        <v>1.0219684839248657</v>
      </c>
      <c r="Q124">
        <v>0.70170581340789795</v>
      </c>
      <c r="R124">
        <v>1</v>
      </c>
      <c r="S124">
        <v>0</v>
      </c>
      <c r="T124">
        <f t="shared" si="3"/>
        <v>1.6540924301307548E-3</v>
      </c>
    </row>
    <row r="125" spans="1:20" x14ac:dyDescent="0.3">
      <c r="A125" s="5" t="s">
        <v>20</v>
      </c>
      <c r="B125" s="5">
        <v>5</v>
      </c>
      <c r="C125" s="5">
        <v>2023</v>
      </c>
      <c r="D125" s="5">
        <v>3.6833231394664598</v>
      </c>
      <c r="E125">
        <v>11.591666666666599</v>
      </c>
      <c r="F125">
        <v>11.25</v>
      </c>
      <c r="G125">
        <v>4.7766666666666602</v>
      </c>
      <c r="H125">
        <v>-1.0205787420272801</v>
      </c>
      <c r="I125">
        <v>-0.198361441493034</v>
      </c>
      <c r="J125">
        <v>-0.63076102733612105</v>
      </c>
      <c r="K125">
        <v>-0.17198830842971799</v>
      </c>
      <c r="L125">
        <v>-0.80639392137527499</v>
      </c>
      <c r="M125">
        <v>-0.115086063742638</v>
      </c>
      <c r="N125">
        <v>0.19850340831279753</v>
      </c>
      <c r="O125">
        <v>4.2893914848566049E-2</v>
      </c>
      <c r="P125">
        <v>1.0219684839248657</v>
      </c>
      <c r="Q125">
        <v>0.70170581340789795</v>
      </c>
      <c r="R125">
        <v>1</v>
      </c>
      <c r="S125">
        <v>0</v>
      </c>
      <c r="T125">
        <f t="shared" si="3"/>
        <v>-0.12082732777786709</v>
      </c>
    </row>
    <row r="126" spans="1:20" x14ac:dyDescent="0.3">
      <c r="A126" s="5" t="s">
        <v>20</v>
      </c>
      <c r="B126" s="5">
        <v>5</v>
      </c>
      <c r="C126" s="5">
        <v>2024</v>
      </c>
      <c r="D126" s="5">
        <v>3.6435663970493399</v>
      </c>
      <c r="E126">
        <v>11.223333333333301</v>
      </c>
      <c r="F126">
        <v>10</v>
      </c>
      <c r="G126">
        <v>4.5449999999999999</v>
      </c>
      <c r="H126">
        <v>-0.97847692966461164</v>
      </c>
      <c r="I126">
        <v>-0.28013046085834492</v>
      </c>
      <c r="J126">
        <v>-0.72819398641586297</v>
      </c>
      <c r="K126">
        <v>-0.11439742185175421</v>
      </c>
      <c r="L126">
        <v>-0.75678322315216084</v>
      </c>
      <c r="M126">
        <v>-6.621480304747826E-2</v>
      </c>
      <c r="N126">
        <v>0.19898411450386047</v>
      </c>
      <c r="O126">
        <v>4.6732312479615207E-2</v>
      </c>
      <c r="P126">
        <v>1.0219684839248657</v>
      </c>
      <c r="Q126">
        <v>0.70170581340789795</v>
      </c>
      <c r="R126">
        <v>1</v>
      </c>
      <c r="S126">
        <v>0</v>
      </c>
      <c r="T126">
        <f t="shared" si="3"/>
        <v>-1.0793715596421656E-2</v>
      </c>
    </row>
    <row r="127" spans="1:20" x14ac:dyDescent="0.3">
      <c r="A127" s="5" t="s">
        <v>19</v>
      </c>
      <c r="B127" s="5">
        <v>6</v>
      </c>
      <c r="C127" s="5">
        <v>2000</v>
      </c>
      <c r="D127" s="5">
        <v>1.3869307553360199</v>
      </c>
      <c r="E127">
        <v>29.995833333333302</v>
      </c>
      <c r="F127" s="2">
        <v>12.5</v>
      </c>
      <c r="G127">
        <v>13.2916665994917</v>
      </c>
      <c r="H127">
        <v>-0.40404617786407498</v>
      </c>
      <c r="I127">
        <v>-0.183523014187813</v>
      </c>
      <c r="J127">
        <v>-0.987529456615448</v>
      </c>
      <c r="K127">
        <v>0.33148169517517101</v>
      </c>
      <c r="L127">
        <v>-0.71804672479629505</v>
      </c>
      <c r="M127">
        <v>-0.37022605538368197</v>
      </c>
      <c r="N127">
        <v>0.60184723138809204</v>
      </c>
      <c r="O127">
        <v>0.39359062910079956</v>
      </c>
      <c r="P127">
        <v>2.2808303833007813</v>
      </c>
      <c r="Q127">
        <v>1</v>
      </c>
      <c r="R127">
        <v>1</v>
      </c>
      <c r="S127">
        <v>0</v>
      </c>
    </row>
    <row r="128" spans="1:20" x14ac:dyDescent="0.3">
      <c r="A128" s="5" t="s">
        <v>19</v>
      </c>
      <c r="B128" s="5">
        <v>6</v>
      </c>
      <c r="C128" s="5">
        <v>2001</v>
      </c>
      <c r="D128" s="5">
        <v>1.4476439380523001</v>
      </c>
      <c r="E128">
        <v>24.9783333333333</v>
      </c>
      <c r="F128" s="2">
        <v>8</v>
      </c>
      <c r="G128">
        <v>9.9166666666666696</v>
      </c>
      <c r="H128">
        <v>-0.35522545874118799</v>
      </c>
      <c r="I128">
        <v>-0.28747094422578801</v>
      </c>
      <c r="J128">
        <v>-0.97871965169906594</v>
      </c>
      <c r="K128">
        <v>0.14585795253515249</v>
      </c>
      <c r="L128">
        <v>-0.63798439502716053</v>
      </c>
      <c r="M128">
        <v>-7.3644407093524988E-2</v>
      </c>
      <c r="N128">
        <v>0.46005082130432129</v>
      </c>
      <c r="O128">
        <v>0.43864992260932922</v>
      </c>
      <c r="P128">
        <v>2.2808303833007813</v>
      </c>
      <c r="Q128">
        <v>1</v>
      </c>
      <c r="R128">
        <v>1</v>
      </c>
      <c r="S128">
        <v>0</v>
      </c>
      <c r="T128">
        <f>((D128-D127)/D127)</f>
        <v>4.3775208302717881E-2</v>
      </c>
    </row>
    <row r="129" spans="1:20" x14ac:dyDescent="0.3">
      <c r="A129" s="5" t="s">
        <v>19</v>
      </c>
      <c r="B129" s="5">
        <v>6</v>
      </c>
      <c r="C129" s="5">
        <v>2002</v>
      </c>
      <c r="D129" s="5">
        <v>1.28772179077061</v>
      </c>
      <c r="E129">
        <v>20.765357288580599</v>
      </c>
      <c r="F129" s="2">
        <v>3</v>
      </c>
      <c r="G129">
        <v>4.19166666666667</v>
      </c>
      <c r="H129">
        <v>-0.306404739618301</v>
      </c>
      <c r="I129">
        <v>-0.39141887426376298</v>
      </c>
      <c r="J129">
        <v>-0.96990984678268399</v>
      </c>
      <c r="K129">
        <v>-3.9765790104866E-2</v>
      </c>
      <c r="L129">
        <v>-0.55792206525802601</v>
      </c>
      <c r="M129">
        <v>0.222937241196632</v>
      </c>
      <c r="N129">
        <v>0.44409933686256409</v>
      </c>
      <c r="O129">
        <v>0.26991629600524902</v>
      </c>
      <c r="P129">
        <v>2.2808303833007813</v>
      </c>
      <c r="Q129">
        <v>1</v>
      </c>
      <c r="R129">
        <v>1</v>
      </c>
      <c r="S129">
        <v>0</v>
      </c>
      <c r="T129">
        <f t="shared" ref="T129:T151" si="4">((D129-D128)/D128)</f>
        <v>-0.11047063651359859</v>
      </c>
    </row>
    <row r="130" spans="1:20" x14ac:dyDescent="0.3">
      <c r="A130" s="5" t="s">
        <v>19</v>
      </c>
      <c r="B130" s="5">
        <v>6</v>
      </c>
      <c r="C130" s="5">
        <v>2003</v>
      </c>
      <c r="D130" s="5">
        <v>1.47877535639654</v>
      </c>
      <c r="E130">
        <v>21.015664971275498</v>
      </c>
      <c r="F130" s="2">
        <v>3.25</v>
      </c>
      <c r="G130">
        <v>3.8333333333333299</v>
      </c>
      <c r="H130">
        <v>-0.154854536056519</v>
      </c>
      <c r="I130">
        <v>-0.58518028259277299</v>
      </c>
      <c r="J130">
        <v>-1.1621016263961801</v>
      </c>
      <c r="K130">
        <v>0.11422575265169101</v>
      </c>
      <c r="L130">
        <v>-0.58865690231323198</v>
      </c>
      <c r="M130">
        <v>7.8648842871189104E-2</v>
      </c>
      <c r="N130">
        <v>0.6845552921295166</v>
      </c>
      <c r="O130">
        <v>0.23372696340084076</v>
      </c>
      <c r="P130">
        <v>2.2808303833007813</v>
      </c>
      <c r="Q130">
        <v>1</v>
      </c>
      <c r="R130">
        <v>1</v>
      </c>
      <c r="S130">
        <v>0</v>
      </c>
      <c r="T130">
        <f t="shared" si="4"/>
        <v>0.14836556078747259</v>
      </c>
    </row>
    <row r="131" spans="1:20" x14ac:dyDescent="0.3">
      <c r="A131" s="5" t="s">
        <v>19</v>
      </c>
      <c r="B131" s="5">
        <v>6</v>
      </c>
      <c r="C131" s="5">
        <v>2004</v>
      </c>
      <c r="D131" s="5">
        <v>1.6964738424159</v>
      </c>
      <c r="E131">
        <v>24.6745640588226</v>
      </c>
      <c r="F131">
        <v>3</v>
      </c>
      <c r="G131">
        <v>2.9833333333333298</v>
      </c>
      <c r="H131">
        <v>-0.42998692393302901</v>
      </c>
      <c r="I131">
        <v>-0.64982086420059204</v>
      </c>
      <c r="J131">
        <v>-1.0273996591568</v>
      </c>
      <c r="K131">
        <v>0.20436060428619399</v>
      </c>
      <c r="L131">
        <v>-0.54542207717895497</v>
      </c>
      <c r="M131">
        <v>-0.13452951610088301</v>
      </c>
      <c r="N131">
        <v>0.54971927404403687</v>
      </c>
      <c r="O131">
        <v>8.2659445703029633E-2</v>
      </c>
      <c r="P131">
        <v>2.2808303833007813</v>
      </c>
      <c r="Q131">
        <v>1</v>
      </c>
      <c r="R131">
        <v>1</v>
      </c>
      <c r="S131">
        <v>0</v>
      </c>
      <c r="T131">
        <f t="shared" si="4"/>
        <v>0.14721538675748885</v>
      </c>
    </row>
    <row r="132" spans="1:20" x14ac:dyDescent="0.3">
      <c r="A132" s="5" t="s">
        <v>19</v>
      </c>
      <c r="B132" s="5">
        <v>6</v>
      </c>
      <c r="C132" s="5">
        <v>2005</v>
      </c>
      <c r="D132" s="5">
        <v>1.89331588408079</v>
      </c>
      <c r="E132">
        <v>25.533835771634401</v>
      </c>
      <c r="F132">
        <v>3.25</v>
      </c>
      <c r="G132">
        <v>3.4207962245330701</v>
      </c>
      <c r="H132">
        <v>-0.36737105250358598</v>
      </c>
      <c r="I132">
        <v>-0.69596052169799805</v>
      </c>
      <c r="J132">
        <v>-0.97571545839309703</v>
      </c>
      <c r="K132">
        <v>7.0829810574650799E-3</v>
      </c>
      <c r="L132">
        <v>-0.70078790187835704</v>
      </c>
      <c r="M132">
        <v>-1.3819258660078E-2</v>
      </c>
      <c r="N132">
        <v>0.59106218814849854</v>
      </c>
      <c r="O132">
        <v>8.6751304566860199E-2</v>
      </c>
      <c r="P132">
        <v>2.2808303833007813</v>
      </c>
      <c r="Q132">
        <v>1</v>
      </c>
      <c r="R132">
        <v>1</v>
      </c>
      <c r="S132">
        <v>0</v>
      </c>
      <c r="T132">
        <f t="shared" si="4"/>
        <v>0.11603010712182441</v>
      </c>
    </row>
    <row r="133" spans="1:20" x14ac:dyDescent="0.3">
      <c r="A133" s="5" t="s">
        <v>19</v>
      </c>
      <c r="B133" s="5">
        <v>6</v>
      </c>
      <c r="C133" s="5">
        <v>2006</v>
      </c>
      <c r="D133" s="5">
        <v>2.0729107456208</v>
      </c>
      <c r="E133">
        <v>23.933333333333302</v>
      </c>
      <c r="F133">
        <v>4.5</v>
      </c>
      <c r="G133">
        <v>4.7929458333333299</v>
      </c>
      <c r="H133">
        <v>-0.22156214714050301</v>
      </c>
      <c r="I133">
        <v>-0.757418632507324</v>
      </c>
      <c r="J133">
        <v>-0.84155380725860596</v>
      </c>
      <c r="K133">
        <v>7.4825413525104495E-2</v>
      </c>
      <c r="L133">
        <v>-0.70465487241744995</v>
      </c>
      <c r="M133">
        <v>9.1934874653816195E-2</v>
      </c>
      <c r="N133">
        <v>0.4392416775226593</v>
      </c>
      <c r="O133">
        <v>0.39008024334907532</v>
      </c>
      <c r="P133">
        <v>2.2808303833007813</v>
      </c>
      <c r="Q133">
        <v>1</v>
      </c>
      <c r="R133">
        <v>1</v>
      </c>
      <c r="S133">
        <v>0</v>
      </c>
      <c r="T133">
        <f t="shared" si="4"/>
        <v>9.4857315173903917E-2</v>
      </c>
    </row>
    <row r="134" spans="1:20" x14ac:dyDescent="0.3">
      <c r="A134" s="5" t="s">
        <v>19</v>
      </c>
      <c r="B134" s="5">
        <v>6</v>
      </c>
      <c r="C134" s="5">
        <v>2007</v>
      </c>
      <c r="D134" s="5">
        <v>2.08553802579695</v>
      </c>
      <c r="E134">
        <v>22.855648055555601</v>
      </c>
      <c r="F134">
        <v>5</v>
      </c>
      <c r="G134">
        <v>4.9224883333333302</v>
      </c>
      <c r="H134">
        <v>-0.27255615592002902</v>
      </c>
      <c r="I134">
        <v>-0.62749242782592796</v>
      </c>
      <c r="J134">
        <v>-0.77488589286804199</v>
      </c>
      <c r="K134">
        <v>0.23847511410713201</v>
      </c>
      <c r="L134">
        <v>-0.75162613391876198</v>
      </c>
      <c r="M134">
        <v>0.10835698992013899</v>
      </c>
      <c r="N134">
        <v>0.4958338737487793</v>
      </c>
      <c r="O134">
        <v>0.64716893434524536</v>
      </c>
      <c r="P134">
        <v>2.2808303833007813</v>
      </c>
      <c r="Q134">
        <v>1</v>
      </c>
      <c r="R134">
        <v>1</v>
      </c>
      <c r="S134">
        <v>0</v>
      </c>
      <c r="T134">
        <f t="shared" si="4"/>
        <v>6.0915696456425843E-3</v>
      </c>
    </row>
    <row r="135" spans="1:20" x14ac:dyDescent="0.3">
      <c r="A135" s="5" t="s">
        <v>19</v>
      </c>
      <c r="B135" s="5">
        <v>6</v>
      </c>
      <c r="C135" s="5">
        <v>2008</v>
      </c>
      <c r="D135" s="5">
        <v>2.02706961928358</v>
      </c>
      <c r="E135">
        <v>23.673444902480799</v>
      </c>
      <c r="F135">
        <v>6.5</v>
      </c>
      <c r="G135">
        <v>5.4469625004386204</v>
      </c>
      <c r="H135">
        <v>-0.20687434077262901</v>
      </c>
      <c r="I135">
        <v>-0.43101951479911799</v>
      </c>
      <c r="J135">
        <v>-0.89266169071197499</v>
      </c>
      <c r="K135">
        <v>0.32096767425537098</v>
      </c>
      <c r="L135">
        <v>-0.730335593223572</v>
      </c>
      <c r="M135">
        <v>0.15213474631309501</v>
      </c>
      <c r="N135">
        <v>0.23097720742225647</v>
      </c>
      <c r="O135">
        <v>0.6995769739151001</v>
      </c>
      <c r="P135">
        <v>2.2808303833007813</v>
      </c>
      <c r="Q135">
        <v>1</v>
      </c>
      <c r="R135">
        <v>1</v>
      </c>
      <c r="S135">
        <v>0</v>
      </c>
      <c r="T135">
        <f t="shared" si="4"/>
        <v>-2.8035166844309834E-2</v>
      </c>
    </row>
    <row r="136" spans="1:20" x14ac:dyDescent="0.3">
      <c r="A136" s="5" t="s">
        <v>19</v>
      </c>
      <c r="B136" s="5">
        <v>6</v>
      </c>
      <c r="C136" s="5">
        <v>2009</v>
      </c>
      <c r="D136" s="5">
        <v>1.99357606247792</v>
      </c>
      <c r="E136">
        <v>21.041923333333301</v>
      </c>
      <c r="F136">
        <v>1.25</v>
      </c>
      <c r="G136">
        <v>4.3544558333333301</v>
      </c>
      <c r="H136">
        <v>-0.33253988623619102</v>
      </c>
      <c r="I136">
        <v>-0.48915544152259799</v>
      </c>
      <c r="J136">
        <v>-1.1800479888916</v>
      </c>
      <c r="K136">
        <v>0.36664178967475902</v>
      </c>
      <c r="L136">
        <v>-0.62426680326461803</v>
      </c>
      <c r="M136">
        <v>8.3490423858165699E-2</v>
      </c>
      <c r="N136">
        <v>0.3262372612953186</v>
      </c>
      <c r="O136">
        <v>0.46836602687835693</v>
      </c>
      <c r="P136">
        <v>2.2808303833007813</v>
      </c>
      <c r="Q136">
        <v>1</v>
      </c>
      <c r="R136">
        <v>1</v>
      </c>
      <c r="S136">
        <v>0</v>
      </c>
      <c r="T136">
        <f t="shared" si="4"/>
        <v>-1.6523140836917839E-2</v>
      </c>
    </row>
    <row r="137" spans="1:20" x14ac:dyDescent="0.3">
      <c r="A137" s="5" t="s">
        <v>19</v>
      </c>
      <c r="B137" s="5">
        <v>6</v>
      </c>
      <c r="C137" s="5">
        <v>2010</v>
      </c>
      <c r="D137" s="5">
        <v>1.7175839408360101</v>
      </c>
      <c r="E137">
        <v>18.9768683333333</v>
      </c>
      <c r="F137">
        <v>3</v>
      </c>
      <c r="G137">
        <v>2.1303791666666698</v>
      </c>
      <c r="H137">
        <v>-0.25388741493225098</v>
      </c>
      <c r="I137">
        <v>-0.23936796188354501</v>
      </c>
      <c r="J137">
        <v>-0.99991542100906405</v>
      </c>
      <c r="K137">
        <v>0.39282089471817</v>
      </c>
      <c r="L137">
        <v>-0.56609952449798595</v>
      </c>
      <c r="M137">
        <v>0.111124783754349</v>
      </c>
      <c r="N137">
        <v>0.60786473751068115</v>
      </c>
      <c r="O137">
        <v>0.47751471400260925</v>
      </c>
      <c r="P137">
        <v>2.2808303833007813</v>
      </c>
      <c r="Q137">
        <v>1</v>
      </c>
      <c r="R137">
        <v>1</v>
      </c>
      <c r="S137">
        <v>0</v>
      </c>
      <c r="T137">
        <f t="shared" si="4"/>
        <v>-0.1384407281149157</v>
      </c>
    </row>
    <row r="138" spans="1:20" x14ac:dyDescent="0.3">
      <c r="A138" s="5" t="s">
        <v>19</v>
      </c>
      <c r="B138" s="5">
        <v>6</v>
      </c>
      <c r="C138" s="5">
        <v>2011</v>
      </c>
      <c r="D138" s="5">
        <v>1.5701760874845201</v>
      </c>
      <c r="E138">
        <v>18.677924999999998</v>
      </c>
      <c r="F138">
        <v>4.25</v>
      </c>
      <c r="G138">
        <v>3.6662666666666701</v>
      </c>
      <c r="H138">
        <v>-0.24396772682666801</v>
      </c>
      <c r="I138">
        <v>-0.206647053360939</v>
      </c>
      <c r="J138">
        <v>-0.76074969768524203</v>
      </c>
      <c r="K138">
        <v>0.40483292937278698</v>
      </c>
      <c r="L138">
        <v>-0.58082568645477295</v>
      </c>
      <c r="M138">
        <v>0.13123960793018299</v>
      </c>
      <c r="N138">
        <v>0.46221923828125</v>
      </c>
      <c r="O138">
        <v>0.48555842041969299</v>
      </c>
      <c r="P138">
        <v>2.2808303833007813</v>
      </c>
      <c r="Q138">
        <v>1</v>
      </c>
      <c r="R138">
        <v>1</v>
      </c>
      <c r="S138">
        <v>0</v>
      </c>
      <c r="T138">
        <f t="shared" si="4"/>
        <v>-8.5822794360630353E-2</v>
      </c>
    </row>
    <row r="139" spans="1:20" x14ac:dyDescent="0.3">
      <c r="A139" s="5" t="s">
        <v>19</v>
      </c>
      <c r="B139" s="5">
        <v>6</v>
      </c>
      <c r="C139" s="5">
        <v>2012</v>
      </c>
      <c r="D139" s="5">
        <v>1.47367128502939</v>
      </c>
      <c r="E139">
        <v>19.2369083333333</v>
      </c>
      <c r="F139">
        <v>4.25</v>
      </c>
      <c r="G139">
        <v>3.8779333333333299</v>
      </c>
      <c r="H139">
        <v>-0.40406963229179399</v>
      </c>
      <c r="I139">
        <v>-0.18742011487484</v>
      </c>
      <c r="J139">
        <v>-0.90736472606658902</v>
      </c>
      <c r="K139">
        <v>0.43664231896400502</v>
      </c>
      <c r="L139">
        <v>-0.58197021484375</v>
      </c>
      <c r="M139">
        <v>0.11426293104887</v>
      </c>
      <c r="N139">
        <v>0.48536607623100281</v>
      </c>
      <c r="O139">
        <v>0.63448506593704224</v>
      </c>
      <c r="P139">
        <v>2.2808303833007813</v>
      </c>
      <c r="Q139">
        <v>1</v>
      </c>
      <c r="R139">
        <v>1</v>
      </c>
      <c r="S139">
        <v>0</v>
      </c>
      <c r="T139">
        <f t="shared" si="4"/>
        <v>-6.1461133706178325E-2</v>
      </c>
    </row>
    <row r="140" spans="1:20" x14ac:dyDescent="0.3">
      <c r="A140" s="5" t="s">
        <v>19</v>
      </c>
      <c r="B140" s="5">
        <v>6</v>
      </c>
      <c r="C140" s="5">
        <v>2013</v>
      </c>
      <c r="D140" s="5">
        <v>1.36617622391414</v>
      </c>
      <c r="E140">
        <v>18.139250000000001</v>
      </c>
      <c r="F140">
        <v>4</v>
      </c>
      <c r="G140">
        <v>3.527825</v>
      </c>
      <c r="H140">
        <v>-0.46094697713851901</v>
      </c>
      <c r="I140">
        <v>-0.15103806555271099</v>
      </c>
      <c r="J140">
        <v>-0.80573976039886497</v>
      </c>
      <c r="K140">
        <v>0.40630167722701999</v>
      </c>
      <c r="L140">
        <v>-0.57441961765289296</v>
      </c>
      <c r="M140">
        <v>8.47504287958145E-2</v>
      </c>
      <c r="N140">
        <v>0.45839345455169678</v>
      </c>
      <c r="O140">
        <v>0.54988449811935425</v>
      </c>
      <c r="P140">
        <v>2.2808303833007813</v>
      </c>
      <c r="Q140">
        <v>1</v>
      </c>
      <c r="R140">
        <v>1</v>
      </c>
      <c r="S140">
        <v>0</v>
      </c>
      <c r="T140">
        <f t="shared" si="4"/>
        <v>-7.2943716965419653E-2</v>
      </c>
    </row>
    <row r="141" spans="1:20" x14ac:dyDescent="0.3">
      <c r="A141" s="5" t="s">
        <v>19</v>
      </c>
      <c r="B141" s="5">
        <v>6</v>
      </c>
      <c r="C141" s="5">
        <v>2014</v>
      </c>
      <c r="D141" s="5">
        <v>1.33950365096341</v>
      </c>
      <c r="E141">
        <v>15.743316666666701</v>
      </c>
      <c r="F141">
        <v>3.5</v>
      </c>
      <c r="G141">
        <v>3.8213416666666702</v>
      </c>
      <c r="H141">
        <v>-0.59998047351837203</v>
      </c>
      <c r="I141">
        <v>-0.32671040296554599</v>
      </c>
      <c r="J141">
        <v>-0.55065691471099898</v>
      </c>
      <c r="K141">
        <v>0.47424823045730602</v>
      </c>
      <c r="L141">
        <v>-0.52255260944366499</v>
      </c>
      <c r="M141">
        <v>0.192497372627258</v>
      </c>
      <c r="N141">
        <v>0.51628357172012329</v>
      </c>
      <c r="O141">
        <v>0.51052355766296387</v>
      </c>
      <c r="P141">
        <v>2.2808303833007813</v>
      </c>
      <c r="Q141">
        <v>1</v>
      </c>
      <c r="R141">
        <v>1</v>
      </c>
      <c r="S141">
        <v>0</v>
      </c>
      <c r="T141">
        <f t="shared" si="4"/>
        <v>-1.9523523015436618E-2</v>
      </c>
    </row>
    <row r="142" spans="1:20" x14ac:dyDescent="0.3">
      <c r="A142" s="5" t="s">
        <v>19</v>
      </c>
      <c r="B142" s="5">
        <v>6</v>
      </c>
      <c r="C142" s="5">
        <v>2015</v>
      </c>
      <c r="D142" s="5">
        <v>1.4567784037106599</v>
      </c>
      <c r="E142">
        <v>16.105827777777801</v>
      </c>
      <c r="F142">
        <v>3.75</v>
      </c>
      <c r="G142">
        <v>4.1111750000000002</v>
      </c>
      <c r="H142">
        <v>-0.60391736030578602</v>
      </c>
      <c r="I142">
        <v>-0.36745366454124501</v>
      </c>
      <c r="J142">
        <v>-0.39891007542610202</v>
      </c>
      <c r="K142">
        <v>0.439279824495316</v>
      </c>
      <c r="L142">
        <v>-0.49964961409568798</v>
      </c>
      <c r="M142">
        <v>0.22736814618110701</v>
      </c>
      <c r="N142">
        <v>0.52317678928375244</v>
      </c>
      <c r="O142">
        <v>0.45432814955711365</v>
      </c>
      <c r="P142">
        <v>2.2808303833007813</v>
      </c>
      <c r="Q142">
        <v>1</v>
      </c>
      <c r="R142">
        <v>1</v>
      </c>
      <c r="S142">
        <v>0</v>
      </c>
      <c r="T142">
        <f t="shared" si="4"/>
        <v>8.7550901905271067E-2</v>
      </c>
    </row>
    <row r="143" spans="1:20" x14ac:dyDescent="0.3">
      <c r="A143" s="5" t="s">
        <v>19</v>
      </c>
      <c r="B143" s="5">
        <v>6</v>
      </c>
      <c r="C143" s="5">
        <v>2016</v>
      </c>
      <c r="D143" s="5">
        <v>1.53367517529191</v>
      </c>
      <c r="E143">
        <v>16.466200000000001</v>
      </c>
      <c r="F143">
        <v>4.25</v>
      </c>
      <c r="G143">
        <v>4.9144249999999996</v>
      </c>
      <c r="H143">
        <v>-0.43034815788268999</v>
      </c>
      <c r="I143">
        <v>-0.25628215074539201</v>
      </c>
      <c r="J143">
        <v>-0.20793484151363401</v>
      </c>
      <c r="K143">
        <v>0.46932619810104398</v>
      </c>
      <c r="L143">
        <v>-0.49603629112243702</v>
      </c>
      <c r="M143">
        <v>0.268895953893661</v>
      </c>
      <c r="N143">
        <v>0.28672155737876892</v>
      </c>
      <c r="O143">
        <v>0.24846266210079193</v>
      </c>
      <c r="P143">
        <v>2.2808303833007813</v>
      </c>
      <c r="Q143">
        <v>1</v>
      </c>
      <c r="R143">
        <v>1</v>
      </c>
      <c r="S143">
        <v>0</v>
      </c>
      <c r="T143">
        <f t="shared" si="4"/>
        <v>5.2785496672233097E-2</v>
      </c>
    </row>
    <row r="144" spans="1:20" x14ac:dyDescent="0.3">
      <c r="A144" s="5" t="s">
        <v>19</v>
      </c>
      <c r="B144" s="5">
        <v>6</v>
      </c>
      <c r="C144" s="5">
        <v>2017</v>
      </c>
      <c r="D144" s="5">
        <v>1.47518841959064</v>
      </c>
      <c r="E144">
        <v>16.7874916666667</v>
      </c>
      <c r="F144">
        <v>3.25</v>
      </c>
      <c r="G144">
        <v>4.4545833333333302</v>
      </c>
      <c r="H144">
        <v>-0.56238502264022805</v>
      </c>
      <c r="I144">
        <v>-0.204775094985962</v>
      </c>
      <c r="J144">
        <v>-0.26350986957549999</v>
      </c>
      <c r="K144">
        <v>0.35148775577545199</v>
      </c>
      <c r="L144">
        <v>-0.52328157424926802</v>
      </c>
      <c r="M144">
        <v>0.27438825368881198</v>
      </c>
      <c r="N144">
        <v>0.56358957290649414</v>
      </c>
      <c r="O144">
        <v>0.49223065376281738</v>
      </c>
      <c r="P144">
        <v>2.2808303833007813</v>
      </c>
      <c r="Q144">
        <v>1</v>
      </c>
      <c r="R144">
        <v>1</v>
      </c>
      <c r="S144">
        <v>0</v>
      </c>
      <c r="T144">
        <f t="shared" si="4"/>
        <v>-3.8135034486776541E-2</v>
      </c>
    </row>
    <row r="145" spans="1:20" x14ac:dyDescent="0.3">
      <c r="A145" s="5" t="s">
        <v>19</v>
      </c>
      <c r="B145" s="5">
        <v>6</v>
      </c>
      <c r="C145" s="5">
        <v>2018</v>
      </c>
      <c r="D145" s="5">
        <v>1.45298846911572</v>
      </c>
      <c r="E145">
        <v>14.539125</v>
      </c>
      <c r="F145">
        <v>2.75</v>
      </c>
      <c r="G145">
        <v>3.3415499999999998</v>
      </c>
      <c r="H145">
        <v>-0.59797322750091597</v>
      </c>
      <c r="I145">
        <v>-0.323809534311295</v>
      </c>
      <c r="J145">
        <v>-0.27688077092170699</v>
      </c>
      <c r="K145">
        <v>0.44338276982307401</v>
      </c>
      <c r="L145">
        <v>-0.56674337387085005</v>
      </c>
      <c r="M145">
        <v>0.21510766446590401</v>
      </c>
      <c r="N145">
        <v>0.54192179441452026</v>
      </c>
      <c r="O145">
        <v>0.32241198420524597</v>
      </c>
      <c r="P145">
        <v>2.2808303833007813</v>
      </c>
      <c r="Q145">
        <v>1</v>
      </c>
      <c r="R145">
        <v>1</v>
      </c>
      <c r="S145">
        <v>0</v>
      </c>
      <c r="T145">
        <f t="shared" si="4"/>
        <v>-1.5048891504368219E-2</v>
      </c>
    </row>
    <row r="146" spans="1:20" x14ac:dyDescent="0.3">
      <c r="A146" s="5" t="s">
        <v>19</v>
      </c>
      <c r="B146" s="5">
        <v>6</v>
      </c>
      <c r="C146" s="5">
        <v>2019</v>
      </c>
      <c r="D146" s="5">
        <v>1.4646873478317</v>
      </c>
      <c r="E146">
        <v>14.385450000000001</v>
      </c>
      <c r="F146">
        <v>2.25</v>
      </c>
      <c r="G146">
        <v>3.66995</v>
      </c>
      <c r="H146">
        <v>-0.50950139760971103</v>
      </c>
      <c r="I146">
        <v>-0.125898167490959</v>
      </c>
      <c r="J146">
        <v>-0.16362261772155801</v>
      </c>
      <c r="K146">
        <v>0.51720225811004605</v>
      </c>
      <c r="L146">
        <v>-0.52005803585052501</v>
      </c>
      <c r="M146">
        <v>0.264963299036026</v>
      </c>
      <c r="N146">
        <v>0.37976926565170288</v>
      </c>
      <c r="O146">
        <v>0.29407325387001038</v>
      </c>
      <c r="P146">
        <v>2.2808303833007813</v>
      </c>
      <c r="Q146">
        <v>1</v>
      </c>
      <c r="R146">
        <v>1</v>
      </c>
      <c r="S146">
        <v>0</v>
      </c>
      <c r="T146">
        <f t="shared" si="4"/>
        <v>8.0515977687695157E-3</v>
      </c>
    </row>
    <row r="147" spans="1:20" x14ac:dyDescent="0.3">
      <c r="A147" s="5" t="s">
        <v>19</v>
      </c>
      <c r="B147" s="5">
        <v>6</v>
      </c>
      <c r="C147" s="5">
        <v>2020</v>
      </c>
      <c r="D147" s="5">
        <v>1.44323462669192</v>
      </c>
      <c r="E147">
        <v>12.938333333333301</v>
      </c>
      <c r="F147">
        <v>0.25</v>
      </c>
      <c r="G147">
        <v>1.86059166666667</v>
      </c>
      <c r="H147">
        <v>-0.52463692426681496</v>
      </c>
      <c r="I147">
        <v>-0.29428005218505898</v>
      </c>
      <c r="J147">
        <v>-0.35772293806076</v>
      </c>
      <c r="K147">
        <v>0.47126418352127097</v>
      </c>
      <c r="L147">
        <v>-0.38284352421760598</v>
      </c>
      <c r="M147">
        <v>0.246405273675919</v>
      </c>
      <c r="N147">
        <v>0.37569895386695862</v>
      </c>
      <c r="O147">
        <v>1.7119571566581726E-2</v>
      </c>
      <c r="P147">
        <v>2.2808303833007813</v>
      </c>
      <c r="Q147">
        <v>1</v>
      </c>
      <c r="R147">
        <v>1</v>
      </c>
      <c r="S147">
        <v>0</v>
      </c>
      <c r="T147">
        <f t="shared" si="4"/>
        <v>-1.4646621459206421E-2</v>
      </c>
    </row>
    <row r="148" spans="1:20" x14ac:dyDescent="0.3">
      <c r="A148" s="5" t="s">
        <v>19</v>
      </c>
      <c r="B148" s="5">
        <v>6</v>
      </c>
      <c r="C148" s="5">
        <v>2021</v>
      </c>
      <c r="D148" s="5">
        <v>1.5941080359779201</v>
      </c>
      <c r="E148">
        <v>10.9795083333333</v>
      </c>
      <c r="F148">
        <v>2.5</v>
      </c>
      <c r="G148">
        <v>0.696583333333333</v>
      </c>
      <c r="H148">
        <v>-0.65379965305328402</v>
      </c>
      <c r="I148">
        <v>-0.29528051614761402</v>
      </c>
      <c r="J148">
        <v>-0.35525295138359098</v>
      </c>
      <c r="K148">
        <v>6.3778646290302304E-2</v>
      </c>
      <c r="L148">
        <v>-0.53251469135284402</v>
      </c>
      <c r="M148">
        <v>0.174961343407631</v>
      </c>
      <c r="N148">
        <v>0.42954022884368898</v>
      </c>
      <c r="O148">
        <v>0.27485962510108947</v>
      </c>
      <c r="P148">
        <v>2.2808303833007813</v>
      </c>
      <c r="Q148">
        <v>1</v>
      </c>
      <c r="R148">
        <v>1</v>
      </c>
      <c r="S148">
        <v>0</v>
      </c>
      <c r="T148">
        <f t="shared" si="4"/>
        <v>0.10453837962010469</v>
      </c>
    </row>
    <row r="149" spans="1:20" x14ac:dyDescent="0.3">
      <c r="A149" s="5" t="s">
        <v>19</v>
      </c>
      <c r="B149" s="5">
        <v>6</v>
      </c>
      <c r="C149" s="5">
        <v>2022</v>
      </c>
      <c r="D149" s="5">
        <v>1.5080554462923901</v>
      </c>
      <c r="E149">
        <v>12.597258333333301</v>
      </c>
      <c r="F149">
        <v>7.5</v>
      </c>
      <c r="G149">
        <v>4.8210750000000004</v>
      </c>
      <c r="H149">
        <v>-0.80800205469131503</v>
      </c>
      <c r="I149">
        <v>-0.39837571978568997</v>
      </c>
      <c r="J149">
        <v>-0.48709544539451599</v>
      </c>
      <c r="K149">
        <v>0.20857498049736001</v>
      </c>
      <c r="L149">
        <v>-0.552831411361694</v>
      </c>
      <c r="M149">
        <v>5.2989695221185698E-2</v>
      </c>
      <c r="N149">
        <v>0.45810396313667301</v>
      </c>
      <c r="O149">
        <v>0.28013901770114902</v>
      </c>
      <c r="P149">
        <v>2.2808303833007813</v>
      </c>
      <c r="Q149">
        <v>1</v>
      </c>
      <c r="R149">
        <v>1</v>
      </c>
      <c r="S149">
        <v>0</v>
      </c>
      <c r="T149">
        <f t="shared" si="4"/>
        <v>-5.398165478335365E-2</v>
      </c>
    </row>
    <row r="150" spans="1:20" x14ac:dyDescent="0.3">
      <c r="A150" s="5" t="s">
        <v>19</v>
      </c>
      <c r="B150" s="5">
        <v>6</v>
      </c>
      <c r="C150" s="5">
        <v>2023</v>
      </c>
      <c r="D150" s="5">
        <v>1.66573125648714</v>
      </c>
      <c r="E150" s="2">
        <f>(15.8+16.5)/2</f>
        <v>16.149999999999999</v>
      </c>
      <c r="F150" s="2">
        <v>6.75</v>
      </c>
      <c r="G150" s="2">
        <v>6.12</v>
      </c>
      <c r="H150">
        <v>-0.72104090452194203</v>
      </c>
      <c r="I150">
        <v>-0.49187278747558599</v>
      </c>
      <c r="J150">
        <v>-0.52178555727005005</v>
      </c>
      <c r="K150">
        <v>0.29220518469810502</v>
      </c>
      <c r="L150">
        <v>-0.53813266754150402</v>
      </c>
      <c r="M150">
        <v>6.0481496155262E-2</v>
      </c>
      <c r="N150">
        <v>0.43700684118270877</v>
      </c>
      <c r="O150">
        <v>0.23772069048881531</v>
      </c>
      <c r="P150">
        <v>2.2808303833007813</v>
      </c>
      <c r="Q150">
        <v>1</v>
      </c>
      <c r="R150">
        <v>1</v>
      </c>
      <c r="S150">
        <v>0</v>
      </c>
      <c r="T150">
        <f t="shared" si="4"/>
        <v>0.10455571151737277</v>
      </c>
    </row>
    <row r="151" spans="1:20" x14ac:dyDescent="0.3">
      <c r="A151" s="5" t="s">
        <v>19</v>
      </c>
      <c r="B151" s="5">
        <v>6</v>
      </c>
      <c r="C151" s="5">
        <v>2024</v>
      </c>
      <c r="D151" s="5">
        <v>1.70587702107004</v>
      </c>
      <c r="E151" s="2">
        <f>(13.5+14)/2</f>
        <v>13.75</v>
      </c>
      <c r="F151" s="2">
        <v>5</v>
      </c>
      <c r="G151" s="2">
        <v>4.95</v>
      </c>
      <c r="H151">
        <v>-0.64339618682861344</v>
      </c>
      <c r="I151">
        <v>-0.32114144861698157</v>
      </c>
      <c r="J151">
        <v>-0.37709590196609499</v>
      </c>
      <c r="K151">
        <v>0.31060505062341692</v>
      </c>
      <c r="L151">
        <v>-0.50527606606483455</v>
      </c>
      <c r="M151">
        <v>0.15996022149920475</v>
      </c>
      <c r="N151">
        <v>0.41602385053634644</v>
      </c>
      <c r="O151">
        <v>0.2207824317455292</v>
      </c>
      <c r="P151">
        <v>2.2808303833007813</v>
      </c>
      <c r="Q151">
        <v>1</v>
      </c>
      <c r="R151">
        <v>1</v>
      </c>
      <c r="S151">
        <v>0</v>
      </c>
      <c r="T151">
        <f t="shared" si="4"/>
        <v>2.4100985333950786E-2</v>
      </c>
    </row>
    <row r="152" spans="1:20" x14ac:dyDescent="0.3">
      <c r="A152" s="5" t="s">
        <v>18</v>
      </c>
      <c r="B152" s="5">
        <v>7</v>
      </c>
      <c r="C152" s="5">
        <v>2000</v>
      </c>
      <c r="D152" s="5">
        <v>1.7130199979486</v>
      </c>
      <c r="E152">
        <v>30.950922777900001</v>
      </c>
      <c r="F152" s="2">
        <v>25</v>
      </c>
      <c r="G152">
        <v>15.720833333333299</v>
      </c>
      <c r="H152">
        <v>-1.37370228767395</v>
      </c>
      <c r="I152">
        <v>-1.03906869888306</v>
      </c>
      <c r="J152">
        <v>-0.97057259082794201</v>
      </c>
      <c r="K152">
        <v>-0.72498536109924305</v>
      </c>
      <c r="L152">
        <v>-0.98942118883132901</v>
      </c>
      <c r="M152">
        <v>-0.50652587413787797</v>
      </c>
      <c r="N152">
        <v>0.47235199809074402</v>
      </c>
      <c r="O152">
        <v>0.83582806587219238</v>
      </c>
      <c r="P152">
        <v>1.2017203569412231</v>
      </c>
      <c r="Q152">
        <v>0.74429899454116821</v>
      </c>
      <c r="R152">
        <v>1</v>
      </c>
      <c r="S152">
        <v>0</v>
      </c>
    </row>
    <row r="153" spans="1:20" x14ac:dyDescent="0.3">
      <c r="A153" s="5" t="s">
        <v>18</v>
      </c>
      <c r="B153" s="5">
        <v>7</v>
      </c>
      <c r="C153" s="5">
        <v>2001</v>
      </c>
      <c r="D153" s="5">
        <v>1.64787181908521</v>
      </c>
      <c r="E153">
        <v>32.651692260312501</v>
      </c>
      <c r="F153" s="2">
        <v>20</v>
      </c>
      <c r="G153">
        <v>16.224166666666701</v>
      </c>
      <c r="H153">
        <v>-1.36938536167145</v>
      </c>
      <c r="I153">
        <v>-1.0764335989952101</v>
      </c>
      <c r="J153">
        <v>-1.0909619331359861</v>
      </c>
      <c r="K153">
        <v>-0.65445482730865456</v>
      </c>
      <c r="L153">
        <v>-1.0563639104366296</v>
      </c>
      <c r="M153">
        <v>-0.48143717646598799</v>
      </c>
      <c r="N153">
        <v>0.34923803806304932</v>
      </c>
      <c r="O153">
        <v>0.66582739353179932</v>
      </c>
      <c r="P153">
        <v>1.2017203569412231</v>
      </c>
      <c r="Q153">
        <v>0.74429899454116821</v>
      </c>
      <c r="R153">
        <v>1</v>
      </c>
      <c r="S153">
        <v>0</v>
      </c>
      <c r="T153">
        <f>((D153-D152)/D152)</f>
        <v>-3.8031184073395084E-2</v>
      </c>
    </row>
    <row r="154" spans="1:20" x14ac:dyDescent="0.3">
      <c r="A154" s="5" t="s">
        <v>18</v>
      </c>
      <c r="B154" s="5">
        <v>7</v>
      </c>
      <c r="C154" s="5">
        <v>2002</v>
      </c>
      <c r="D154" s="5">
        <v>1.3715456499773999</v>
      </c>
      <c r="E154">
        <v>44.673181710321003</v>
      </c>
      <c r="F154" s="2">
        <v>15</v>
      </c>
      <c r="G154">
        <v>22.8608333333333</v>
      </c>
      <c r="H154">
        <v>-1.36506843566895</v>
      </c>
      <c r="I154">
        <v>-1.11379849910736</v>
      </c>
      <c r="J154">
        <v>-1.2113512754440301</v>
      </c>
      <c r="K154">
        <v>-0.58392429351806596</v>
      </c>
      <c r="L154">
        <v>-1.12330663204193</v>
      </c>
      <c r="M154">
        <v>-0.45634847879409801</v>
      </c>
      <c r="N154">
        <v>0.18058523535728455</v>
      </c>
      <c r="O154">
        <v>0.61183422803878784</v>
      </c>
      <c r="P154">
        <v>1.2017203569412231</v>
      </c>
      <c r="Q154">
        <v>0.74429899454116821</v>
      </c>
      <c r="R154">
        <v>1</v>
      </c>
      <c r="S154">
        <v>0</v>
      </c>
      <c r="T154">
        <f t="shared" ref="T154:T176" si="5">((D154-D153)/D153)</f>
        <v>-0.16768668892050606</v>
      </c>
    </row>
    <row r="155" spans="1:20" x14ac:dyDescent="0.3">
      <c r="A155" s="5" t="s">
        <v>18</v>
      </c>
      <c r="B155" s="5">
        <v>7</v>
      </c>
      <c r="C155" s="5">
        <v>2003</v>
      </c>
      <c r="D155" s="5">
        <v>1.4236740138902999</v>
      </c>
      <c r="E155">
        <v>57.771653953977797</v>
      </c>
      <c r="F155" s="2">
        <v>12</v>
      </c>
      <c r="G155">
        <v>15.830833333333301</v>
      </c>
      <c r="H155">
        <v>-1.43683886528015</v>
      </c>
      <c r="I155">
        <v>-0.997566938400269</v>
      </c>
      <c r="J155">
        <v>-0.74935156106948897</v>
      </c>
      <c r="K155">
        <v>-0.76130241155624401</v>
      </c>
      <c r="L155">
        <v>-1.05233979225159</v>
      </c>
      <c r="M155">
        <v>-0.40035426616668701</v>
      </c>
      <c r="N155">
        <v>0.27612972259521484</v>
      </c>
      <c r="O155">
        <v>0.62358683347702026</v>
      </c>
      <c r="P155">
        <v>1.2017203569412231</v>
      </c>
      <c r="Q155">
        <v>0.74429899454116821</v>
      </c>
      <c r="R155">
        <v>1</v>
      </c>
      <c r="S155">
        <v>0</v>
      </c>
      <c r="T155">
        <f t="shared" si="5"/>
        <v>3.8007020702343339E-2</v>
      </c>
    </row>
    <row r="156" spans="1:20" x14ac:dyDescent="0.3">
      <c r="A156" s="5" t="s">
        <v>18</v>
      </c>
      <c r="B156" s="5">
        <v>7</v>
      </c>
      <c r="C156" s="5">
        <v>2004</v>
      </c>
      <c r="D156" s="5">
        <v>1.3715082491051001</v>
      </c>
      <c r="E156">
        <v>38.766343540378799</v>
      </c>
      <c r="F156" s="2">
        <v>10</v>
      </c>
      <c r="G156">
        <v>5.1083333333333298</v>
      </c>
      <c r="H156">
        <v>-1.42646288871765</v>
      </c>
      <c r="I156">
        <v>-0.96507555246353105</v>
      </c>
      <c r="J156">
        <v>-0.56614375114440896</v>
      </c>
      <c r="K156">
        <v>-0.752638399600983</v>
      </c>
      <c r="L156">
        <v>-0.98186618089675903</v>
      </c>
      <c r="M156">
        <v>-0.47459360957145702</v>
      </c>
      <c r="N156">
        <v>0.30438005924224854</v>
      </c>
      <c r="O156">
        <v>0.51032513380050659</v>
      </c>
      <c r="P156">
        <v>1.2017203569412231</v>
      </c>
      <c r="Q156">
        <v>0.74429899454116821</v>
      </c>
      <c r="R156">
        <v>1</v>
      </c>
      <c r="S156">
        <v>0</v>
      </c>
      <c r="T156">
        <f t="shared" si="5"/>
        <v>-3.6641649897544204E-2</v>
      </c>
    </row>
    <row r="157" spans="1:20" x14ac:dyDescent="0.3">
      <c r="A157" s="5" t="s">
        <v>18</v>
      </c>
      <c r="B157" s="5">
        <v>7</v>
      </c>
      <c r="C157" s="5">
        <v>2005</v>
      </c>
      <c r="D157" s="5">
        <v>1.5022118479548701</v>
      </c>
      <c r="E157">
        <v>34.566178516484399</v>
      </c>
      <c r="F157" s="2">
        <v>8</v>
      </c>
      <c r="G157">
        <v>1.66166666666667</v>
      </c>
      <c r="H157">
        <v>-1.3558330535888701</v>
      </c>
      <c r="I157">
        <v>-0.77709090709686302</v>
      </c>
      <c r="J157">
        <v>-0.65207815170288097</v>
      </c>
      <c r="K157">
        <v>-0.864246666431427</v>
      </c>
      <c r="L157">
        <v>-0.96342831850051902</v>
      </c>
      <c r="M157">
        <v>-0.39582103490829501</v>
      </c>
      <c r="N157">
        <v>0.45579192042350769</v>
      </c>
      <c r="O157">
        <v>0.33914300799369812</v>
      </c>
      <c r="P157">
        <v>1.2017203569412231</v>
      </c>
      <c r="Q157">
        <v>0.74429899454116821</v>
      </c>
      <c r="R157">
        <v>1</v>
      </c>
      <c r="S157">
        <v>0</v>
      </c>
      <c r="T157">
        <f t="shared" si="5"/>
        <v>9.5299170774257633E-2</v>
      </c>
    </row>
    <row r="158" spans="1:20" x14ac:dyDescent="0.3">
      <c r="A158" s="5" t="s">
        <v>18</v>
      </c>
      <c r="B158" s="5">
        <v>7</v>
      </c>
      <c r="C158" s="5">
        <v>2006</v>
      </c>
      <c r="D158" s="5">
        <v>2.5019676839782998</v>
      </c>
      <c r="E158">
        <v>34.835370143313902</v>
      </c>
      <c r="F158" s="2">
        <v>7</v>
      </c>
      <c r="G158">
        <v>6.72</v>
      </c>
      <c r="H158">
        <v>-1.16153120994568</v>
      </c>
      <c r="I158">
        <v>-0.96306443214416504</v>
      </c>
      <c r="J158">
        <v>-0.77652502059936501</v>
      </c>
      <c r="K158">
        <v>-0.70251315832138095</v>
      </c>
      <c r="L158">
        <v>-0.97109603881835904</v>
      </c>
      <c r="M158">
        <v>-0.256909370422363</v>
      </c>
      <c r="N158">
        <v>0.38688096404075623</v>
      </c>
      <c r="O158">
        <v>0.20819897949695587</v>
      </c>
      <c r="P158">
        <v>1.2017203569412231</v>
      </c>
      <c r="Q158">
        <v>0.74429899454116821</v>
      </c>
      <c r="R158">
        <v>1</v>
      </c>
      <c r="S158">
        <v>0</v>
      </c>
      <c r="T158">
        <f t="shared" si="5"/>
        <v>0.66552253424476038</v>
      </c>
    </row>
    <row r="159" spans="1:20" x14ac:dyDescent="0.3">
      <c r="A159" s="5" t="s">
        <v>18</v>
      </c>
      <c r="B159" s="5">
        <v>7</v>
      </c>
      <c r="C159" s="5">
        <v>2007</v>
      </c>
      <c r="D159" s="5">
        <v>1.90848171580223</v>
      </c>
      <c r="E159">
        <v>28.920741550408898</v>
      </c>
      <c r="F159" s="2">
        <v>7</v>
      </c>
      <c r="G159">
        <v>5.0025000000000004</v>
      </c>
      <c r="H159">
        <v>-1.2110357284545901</v>
      </c>
      <c r="I159">
        <v>-0.853146731853485</v>
      </c>
      <c r="J159">
        <v>-0.74012291431427002</v>
      </c>
      <c r="K159">
        <v>-0.58347547054290805</v>
      </c>
      <c r="L159">
        <v>-0.96451431512832597</v>
      </c>
      <c r="M159">
        <v>-0.164958506822586</v>
      </c>
      <c r="N159">
        <v>0.32630577683448792</v>
      </c>
      <c r="O159">
        <v>0.38915956020355225</v>
      </c>
      <c r="P159">
        <v>1.2017203569412231</v>
      </c>
      <c r="Q159">
        <v>0.74429899454116821</v>
      </c>
      <c r="R159">
        <v>1</v>
      </c>
      <c r="S159">
        <v>0</v>
      </c>
      <c r="T159">
        <f t="shared" si="5"/>
        <v>-0.2372076873640456</v>
      </c>
    </row>
    <row r="160" spans="1:20" x14ac:dyDescent="0.3">
      <c r="A160" s="5" t="s">
        <v>18</v>
      </c>
      <c r="B160" s="5">
        <v>7</v>
      </c>
      <c r="C160" s="5">
        <v>2008</v>
      </c>
      <c r="D160" s="5">
        <v>1.47319137438082</v>
      </c>
      <c r="E160">
        <v>29.825103276836099</v>
      </c>
      <c r="F160" s="2">
        <v>6</v>
      </c>
      <c r="G160">
        <v>3.0775000000000001</v>
      </c>
      <c r="H160">
        <v>-0.97969353199005105</v>
      </c>
      <c r="I160">
        <v>-0.87099212408065796</v>
      </c>
      <c r="J160">
        <v>-0.727450251579285</v>
      </c>
      <c r="K160">
        <v>-0.49169003963470498</v>
      </c>
      <c r="L160">
        <v>-0.91083520650863603</v>
      </c>
      <c r="M160">
        <v>-0.11573669314384499</v>
      </c>
      <c r="N160">
        <v>0.15253312885761261</v>
      </c>
      <c r="O160">
        <v>0.44548961520195007</v>
      </c>
      <c r="P160">
        <v>0.9499480128288269</v>
      </c>
      <c r="Q160">
        <v>0.68464016914367676</v>
      </c>
      <c r="R160">
        <v>1</v>
      </c>
      <c r="S160">
        <v>0</v>
      </c>
      <c r="T160">
        <f t="shared" si="5"/>
        <v>-0.22808200771178766</v>
      </c>
    </row>
    <row r="161" spans="1:20" x14ac:dyDescent="0.3">
      <c r="A161" s="5" t="s">
        <v>18</v>
      </c>
      <c r="B161" s="5">
        <v>7</v>
      </c>
      <c r="C161" s="5">
        <v>2009</v>
      </c>
      <c r="D161" s="5">
        <v>1.68775418813224</v>
      </c>
      <c r="E161">
        <v>32.656164835650799</v>
      </c>
      <c r="F161" s="2">
        <v>4</v>
      </c>
      <c r="G161">
        <v>1.45583333333333</v>
      </c>
      <c r="H161">
        <v>-0.78895050287246704</v>
      </c>
      <c r="I161">
        <v>-0.90478652715682995</v>
      </c>
      <c r="J161">
        <v>-0.88358604907989502</v>
      </c>
      <c r="K161">
        <v>-0.40924799442291299</v>
      </c>
      <c r="L161">
        <v>-0.85797703266143799</v>
      </c>
      <c r="M161">
        <v>-0.134577691555023</v>
      </c>
      <c r="N161">
        <v>0.40824389457702637</v>
      </c>
      <c r="O161">
        <v>0.4124285876750946</v>
      </c>
      <c r="P161">
        <v>0.69817566871643066</v>
      </c>
      <c r="Q161">
        <v>0.6249813437461853</v>
      </c>
      <c r="R161">
        <v>1</v>
      </c>
      <c r="S161">
        <v>0</v>
      </c>
      <c r="T161">
        <f t="shared" si="5"/>
        <v>0.14564490227320287</v>
      </c>
    </row>
    <row r="162" spans="1:20" x14ac:dyDescent="0.3">
      <c r="A162" s="5" t="s">
        <v>18</v>
      </c>
      <c r="B162" s="5">
        <v>7</v>
      </c>
      <c r="C162" s="5">
        <v>2010</v>
      </c>
      <c r="D162" s="5">
        <v>1.5035644619439099</v>
      </c>
      <c r="E162">
        <v>30.088881271822501</v>
      </c>
      <c r="F162" s="2">
        <v>5</v>
      </c>
      <c r="G162">
        <v>1.2124999999999999</v>
      </c>
      <c r="H162">
        <v>-0.70759338140487704</v>
      </c>
      <c r="I162">
        <v>-0.91205340623855602</v>
      </c>
      <c r="J162">
        <v>-0.83486223220825195</v>
      </c>
      <c r="K162">
        <v>-0.36159846186637901</v>
      </c>
      <c r="L162">
        <v>-0.83041149377822898</v>
      </c>
      <c r="M162">
        <v>-7.8932732343673706E-2</v>
      </c>
      <c r="N162">
        <v>0.38544151186943054</v>
      </c>
      <c r="O162">
        <v>0.52230250835418701</v>
      </c>
      <c r="P162">
        <v>0.44640323519706726</v>
      </c>
      <c r="Q162">
        <v>0.56532245874404907</v>
      </c>
      <c r="R162">
        <v>1</v>
      </c>
      <c r="S162">
        <v>0</v>
      </c>
      <c r="T162">
        <f t="shared" si="5"/>
        <v>-0.10913302866228665</v>
      </c>
    </row>
    <row r="163" spans="1:20" x14ac:dyDescent="0.3">
      <c r="A163" s="5" t="s">
        <v>18</v>
      </c>
      <c r="B163" s="5">
        <v>7</v>
      </c>
      <c r="C163" s="5">
        <v>2011</v>
      </c>
      <c r="D163" s="5">
        <v>1.60168910920454</v>
      </c>
      <c r="E163">
        <v>17.3980540247749</v>
      </c>
      <c r="F163">
        <v>7.25</v>
      </c>
      <c r="G163">
        <v>4.0250000000000004</v>
      </c>
      <c r="H163">
        <v>-0.69563573598861705</v>
      </c>
      <c r="I163">
        <v>-0.84945946931839</v>
      </c>
      <c r="J163">
        <v>-0.69259655475616499</v>
      </c>
      <c r="K163">
        <v>-0.32660228013992298</v>
      </c>
      <c r="L163">
        <v>-0.80001133680343595</v>
      </c>
      <c r="M163">
        <v>-8.3290010690689101E-2</v>
      </c>
      <c r="N163">
        <v>0.21984542906284332</v>
      </c>
      <c r="O163">
        <v>0.67647123336791992</v>
      </c>
      <c r="P163">
        <v>0.19463086128234863</v>
      </c>
      <c r="Q163">
        <v>0.50566363334655762</v>
      </c>
      <c r="R163">
        <v>1</v>
      </c>
      <c r="S163">
        <v>0</v>
      </c>
      <c r="T163">
        <f t="shared" si="5"/>
        <v>6.526135044038478E-2</v>
      </c>
    </row>
    <row r="164" spans="1:20" x14ac:dyDescent="0.3">
      <c r="A164" s="5" t="s">
        <v>18</v>
      </c>
      <c r="B164" s="5">
        <v>7</v>
      </c>
      <c r="C164" s="5">
        <v>2012</v>
      </c>
      <c r="D164" s="5">
        <v>1.90581120159021</v>
      </c>
      <c r="E164">
        <v>17.158467319811599</v>
      </c>
      <c r="F164">
        <v>5.5</v>
      </c>
      <c r="G164">
        <v>3.9158333333333299</v>
      </c>
      <c r="H164">
        <v>-0.85060280561447099</v>
      </c>
      <c r="I164">
        <v>-0.89953643083572399</v>
      </c>
      <c r="J164">
        <v>-0.87190216779708896</v>
      </c>
      <c r="K164">
        <v>-0.26128265261650102</v>
      </c>
      <c r="L164">
        <v>-0.81082051992416404</v>
      </c>
      <c r="M164">
        <v>-0.113736905157566</v>
      </c>
      <c r="N164">
        <v>0.27589982748031616</v>
      </c>
      <c r="O164">
        <v>0.72341257333755493</v>
      </c>
      <c r="P164">
        <v>-5.7141531258821487E-2</v>
      </c>
      <c r="Q164">
        <v>0.44600480794906616</v>
      </c>
      <c r="R164">
        <v>1</v>
      </c>
      <c r="S164">
        <v>0</v>
      </c>
      <c r="T164">
        <f t="shared" si="5"/>
        <v>0.18987585707984783</v>
      </c>
    </row>
    <row r="165" spans="1:20" x14ac:dyDescent="0.3">
      <c r="A165" s="5" t="s">
        <v>18</v>
      </c>
      <c r="B165" s="5">
        <v>7</v>
      </c>
      <c r="C165" s="5">
        <v>2013</v>
      </c>
      <c r="D165" s="5">
        <v>1.6188619067015999</v>
      </c>
      <c r="E165">
        <v>19.270573149178102</v>
      </c>
      <c r="F165">
        <v>6</v>
      </c>
      <c r="G165">
        <v>4.24</v>
      </c>
      <c r="H165">
        <v>-1.0481319427490201</v>
      </c>
      <c r="I165">
        <v>-0.87956178188323997</v>
      </c>
      <c r="J165">
        <v>-0.73586159944534302</v>
      </c>
      <c r="K165">
        <v>-0.24729613959789301</v>
      </c>
      <c r="L165">
        <v>-0.76702362298965499</v>
      </c>
      <c r="M165">
        <v>-0.104953654110432</v>
      </c>
      <c r="N165">
        <v>0.29702898859977722</v>
      </c>
      <c r="O165">
        <v>0.50593751668930054</v>
      </c>
      <c r="P165">
        <v>-5.7141531258821487E-2</v>
      </c>
      <c r="Q165">
        <v>0.44600480794906616</v>
      </c>
      <c r="R165">
        <v>1</v>
      </c>
      <c r="S165">
        <v>0</v>
      </c>
      <c r="T165">
        <f t="shared" si="5"/>
        <v>-0.15056543620332352</v>
      </c>
    </row>
    <row r="166" spans="1:20" x14ac:dyDescent="0.3">
      <c r="A166" s="5" t="s">
        <v>18</v>
      </c>
      <c r="B166" s="5">
        <v>7</v>
      </c>
      <c r="C166" s="5">
        <v>2014</v>
      </c>
      <c r="D166" s="5">
        <v>1.2547448787933599</v>
      </c>
      <c r="E166">
        <v>21.186067780805899</v>
      </c>
      <c r="F166">
        <v>6.75</v>
      </c>
      <c r="G166">
        <v>4.3066666666666702</v>
      </c>
      <c r="H166">
        <v>-1.01107943058014</v>
      </c>
      <c r="I166">
        <v>-0.93822950124740601</v>
      </c>
      <c r="J166">
        <v>-8.8627509772777599E-2</v>
      </c>
      <c r="K166">
        <v>-0.205342337489128</v>
      </c>
      <c r="L166">
        <v>-0.604350566864014</v>
      </c>
      <c r="M166">
        <v>-0.102871343493462</v>
      </c>
      <c r="N166">
        <v>0.26708802580833435</v>
      </c>
      <c r="O166">
        <v>0.42256560921669006</v>
      </c>
      <c r="P166">
        <v>-5.7141531258821487E-2</v>
      </c>
      <c r="Q166">
        <v>0.44600480794906616</v>
      </c>
      <c r="R166">
        <v>1</v>
      </c>
      <c r="S166">
        <v>0</v>
      </c>
      <c r="T166">
        <f t="shared" si="5"/>
        <v>-0.22492161091746327</v>
      </c>
    </row>
    <row r="167" spans="1:20" x14ac:dyDescent="0.3">
      <c r="A167" s="5" t="s">
        <v>18</v>
      </c>
      <c r="B167" s="5">
        <v>7</v>
      </c>
      <c r="C167" s="5">
        <v>2015</v>
      </c>
      <c r="D167" s="5">
        <v>1.52890986973149</v>
      </c>
      <c r="E167">
        <v>19.735856181446401</v>
      </c>
      <c r="F167">
        <v>5.75</v>
      </c>
      <c r="G167">
        <v>3.5125000000000002</v>
      </c>
      <c r="H167">
        <v>-1.01891994476318</v>
      </c>
      <c r="I167">
        <v>-0.99876278638839699</v>
      </c>
      <c r="J167">
        <v>3.5212628543376902E-2</v>
      </c>
      <c r="K167">
        <v>-0.20560888946056399</v>
      </c>
      <c r="L167">
        <v>-0.64435964822769198</v>
      </c>
      <c r="M167">
        <v>-6.9938525557518005E-2</v>
      </c>
      <c r="N167">
        <v>0.32427692413330078</v>
      </c>
      <c r="O167">
        <v>0.42256560921669006</v>
      </c>
      <c r="P167">
        <v>-5.7141531258821487E-2</v>
      </c>
      <c r="Q167">
        <v>0.44600480794906616</v>
      </c>
      <c r="R167">
        <v>1</v>
      </c>
      <c r="S167">
        <v>0</v>
      </c>
      <c r="T167">
        <f t="shared" si="5"/>
        <v>0.21850257815101348</v>
      </c>
    </row>
    <row r="168" spans="1:20" x14ac:dyDescent="0.3">
      <c r="A168" s="5" t="s">
        <v>18</v>
      </c>
      <c r="B168" s="5">
        <v>7</v>
      </c>
      <c r="C168" s="5">
        <v>2016</v>
      </c>
      <c r="D168" s="5">
        <v>1.8200716435494499</v>
      </c>
      <c r="E168">
        <v>18.0748565194157</v>
      </c>
      <c r="F168">
        <v>5.5</v>
      </c>
      <c r="G168">
        <v>3.7558333333333298</v>
      </c>
      <c r="H168">
        <v>-0.76309043169021595</v>
      </c>
      <c r="I168">
        <v>-0.821805059909821</v>
      </c>
      <c r="J168">
        <v>0.13447080552578</v>
      </c>
      <c r="K168">
        <v>-0.229902908205986</v>
      </c>
      <c r="L168">
        <v>-0.68965423107147195</v>
      </c>
      <c r="M168">
        <v>-6.3101373612880707E-2</v>
      </c>
      <c r="N168">
        <v>0.32540148496627808</v>
      </c>
      <c r="O168">
        <v>0.5</v>
      </c>
      <c r="P168">
        <v>-5.7141531258821487E-2</v>
      </c>
      <c r="Q168">
        <v>0.44600480794906616</v>
      </c>
      <c r="R168">
        <v>1</v>
      </c>
      <c r="S168">
        <v>0</v>
      </c>
      <c r="T168">
        <f t="shared" si="5"/>
        <v>0.19043750032766438</v>
      </c>
    </row>
    <row r="169" spans="1:20" x14ac:dyDescent="0.3">
      <c r="A169" s="5" t="s">
        <v>18</v>
      </c>
      <c r="B169" s="5">
        <v>7</v>
      </c>
      <c r="C169" s="5">
        <v>2017</v>
      </c>
      <c r="D169" s="5">
        <v>1.80546417006755</v>
      </c>
      <c r="E169">
        <v>16.981885972602001</v>
      </c>
      <c r="F169">
        <v>5.25</v>
      </c>
      <c r="G169">
        <v>3.5924999999999998</v>
      </c>
      <c r="H169">
        <v>-0.75071793794632002</v>
      </c>
      <c r="I169">
        <v>-0.84179890155792203</v>
      </c>
      <c r="J169">
        <v>-2.8554622549563599E-3</v>
      </c>
      <c r="K169">
        <v>-0.248225942254066</v>
      </c>
      <c r="L169">
        <v>-0.66796183586120605</v>
      </c>
      <c r="M169">
        <v>-4.3724205344915397E-2</v>
      </c>
      <c r="N169">
        <v>0.32519757747650146</v>
      </c>
      <c r="O169">
        <v>0.5</v>
      </c>
      <c r="P169">
        <v>-5.7141531258821487E-2</v>
      </c>
      <c r="Q169">
        <v>0.44600480794906616</v>
      </c>
      <c r="R169">
        <v>1</v>
      </c>
      <c r="S169">
        <v>0</v>
      </c>
      <c r="T169">
        <f t="shared" si="5"/>
        <v>-8.0257683996509521E-3</v>
      </c>
    </row>
    <row r="170" spans="1:20" x14ac:dyDescent="0.3">
      <c r="A170" s="5" t="s">
        <v>18</v>
      </c>
      <c r="B170" s="5">
        <v>7</v>
      </c>
      <c r="C170" s="5">
        <v>2018</v>
      </c>
      <c r="D170" s="5">
        <v>1.6976068483314299</v>
      </c>
      <c r="E170">
        <v>15.7177063917515</v>
      </c>
      <c r="F170">
        <v>5.25</v>
      </c>
      <c r="G170">
        <v>3.48166666666667</v>
      </c>
      <c r="H170">
        <v>-0.87075698375701904</v>
      </c>
      <c r="I170">
        <v>-0.60488873720169101</v>
      </c>
      <c r="J170">
        <v>-8.6711078882217393E-2</v>
      </c>
      <c r="K170">
        <v>-8.9519158005714403E-2</v>
      </c>
      <c r="L170">
        <v>-0.60226827859878496</v>
      </c>
      <c r="M170">
        <v>3.1965795904397999E-2</v>
      </c>
      <c r="N170">
        <v>0.44874247908592224</v>
      </c>
      <c r="O170">
        <v>0.5</v>
      </c>
      <c r="P170">
        <v>-5.7141531258821487E-2</v>
      </c>
      <c r="Q170">
        <v>0.44600480794906616</v>
      </c>
      <c r="R170">
        <v>1</v>
      </c>
      <c r="S170">
        <v>0</v>
      </c>
      <c r="T170">
        <f t="shared" si="5"/>
        <v>-5.9739386427194875E-2</v>
      </c>
    </row>
    <row r="171" spans="1:20" x14ac:dyDescent="0.3">
      <c r="A171" s="5" t="s">
        <v>18</v>
      </c>
      <c r="B171" s="5">
        <v>7</v>
      </c>
      <c r="C171" s="5">
        <v>2019</v>
      </c>
      <c r="D171" s="5">
        <v>1.7560562722305499</v>
      </c>
      <c r="E171">
        <v>15.4842638363204</v>
      </c>
      <c r="F171">
        <v>4</v>
      </c>
      <c r="G171">
        <v>3.4383333333333299</v>
      </c>
      <c r="H171">
        <v>-0.89364570379257202</v>
      </c>
      <c r="I171">
        <v>-0.57677310705184903</v>
      </c>
      <c r="J171">
        <v>-1.80127751082182E-2</v>
      </c>
      <c r="K171">
        <v>-0.13721576333046001</v>
      </c>
      <c r="L171">
        <v>-0.56749618053436302</v>
      </c>
      <c r="M171">
        <v>5.2799433469772297E-2</v>
      </c>
      <c r="N171">
        <v>0.35491654276847839</v>
      </c>
      <c r="O171">
        <v>0.5</v>
      </c>
      <c r="P171">
        <v>-5.7141531258821487E-2</v>
      </c>
      <c r="Q171">
        <v>0.44600480794906616</v>
      </c>
      <c r="R171">
        <v>1</v>
      </c>
      <c r="S171">
        <v>0</v>
      </c>
      <c r="T171">
        <f t="shared" si="5"/>
        <v>3.4430483098350881E-2</v>
      </c>
    </row>
    <row r="172" spans="1:20" x14ac:dyDescent="0.3">
      <c r="A172" s="5" t="s">
        <v>18</v>
      </c>
      <c r="B172" s="5">
        <v>7</v>
      </c>
      <c r="C172" s="5">
        <v>2020</v>
      </c>
      <c r="D172" s="5">
        <v>1.64741492260679</v>
      </c>
      <c r="E172">
        <v>13.5373144065709</v>
      </c>
      <c r="F172">
        <v>0.75</v>
      </c>
      <c r="G172">
        <v>3.3675000000000002</v>
      </c>
      <c r="H172">
        <v>-0.85788810253143299</v>
      </c>
      <c r="I172">
        <v>-0.565207660198212</v>
      </c>
      <c r="J172">
        <v>1.6717767342925099E-2</v>
      </c>
      <c r="K172">
        <v>-0.13966229557991</v>
      </c>
      <c r="L172">
        <v>-0.42782652378082298</v>
      </c>
      <c r="M172">
        <v>4.62461747229099E-2</v>
      </c>
      <c r="N172">
        <v>0.45140507817268372</v>
      </c>
      <c r="O172">
        <v>0.5</v>
      </c>
      <c r="P172">
        <v>-5.7141531258821487E-2</v>
      </c>
      <c r="Q172">
        <v>0.44600480794906616</v>
      </c>
      <c r="R172">
        <v>1</v>
      </c>
      <c r="S172">
        <v>0</v>
      </c>
      <c r="T172">
        <f t="shared" si="5"/>
        <v>-6.1866667567414137E-2</v>
      </c>
    </row>
    <row r="173" spans="1:20" x14ac:dyDescent="0.3">
      <c r="A173" s="5" t="s">
        <v>18</v>
      </c>
      <c r="B173" s="5">
        <v>7</v>
      </c>
      <c r="C173" s="5">
        <v>2021</v>
      </c>
      <c r="D173" s="5">
        <v>1.4652587228468399</v>
      </c>
      <c r="E173">
        <v>12.509738865784399</v>
      </c>
      <c r="F173" s="2">
        <v>5.25</v>
      </c>
      <c r="G173">
        <v>3.4244444444444402</v>
      </c>
      <c r="H173">
        <v>-1.0265417098998999</v>
      </c>
      <c r="I173">
        <v>-0.65592020750045799</v>
      </c>
      <c r="J173">
        <v>-9.3793228734284596E-4</v>
      </c>
      <c r="K173">
        <v>-0.22211767733097099</v>
      </c>
      <c r="L173">
        <v>-0.57589703798294101</v>
      </c>
      <c r="M173">
        <v>3.6173386033624402E-3</v>
      </c>
      <c r="N173">
        <v>0.38113263249397278</v>
      </c>
      <c r="O173">
        <v>0.5</v>
      </c>
      <c r="P173">
        <v>-5.7141531258821487E-2</v>
      </c>
      <c r="Q173">
        <v>0.44600480794906616</v>
      </c>
      <c r="R173">
        <v>1</v>
      </c>
      <c r="S173">
        <v>0</v>
      </c>
      <c r="T173">
        <f t="shared" si="5"/>
        <v>-0.11057092980055985</v>
      </c>
    </row>
    <row r="174" spans="1:20" x14ac:dyDescent="0.3">
      <c r="A174" s="5" t="s">
        <v>18</v>
      </c>
      <c r="B174" s="5">
        <v>7</v>
      </c>
      <c r="C174" s="5">
        <v>2022</v>
      </c>
      <c r="D174" s="5">
        <v>1.41178944682987</v>
      </c>
      <c r="E174" s="2">
        <f>(14.1+15.5)/2</f>
        <v>14.8</v>
      </c>
      <c r="F174" s="2">
        <v>8.5</v>
      </c>
      <c r="G174" s="2">
        <v>5.2</v>
      </c>
      <c r="H174">
        <v>-1.0905796289444001</v>
      </c>
      <c r="I174">
        <v>-0.61401510238647505</v>
      </c>
      <c r="J174">
        <v>3.55493128299713E-2</v>
      </c>
      <c r="K174">
        <v>-0.169901669025421</v>
      </c>
      <c r="L174">
        <v>-0.59149837493896495</v>
      </c>
      <c r="M174">
        <v>3.7103700451552898E-3</v>
      </c>
      <c r="N174">
        <v>0.39227886199951173</v>
      </c>
      <c r="O174">
        <v>0.5</v>
      </c>
      <c r="P174">
        <v>-5.7141531258821487E-2</v>
      </c>
      <c r="Q174">
        <v>0.44600480794906616</v>
      </c>
      <c r="R174">
        <v>1</v>
      </c>
      <c r="S174">
        <v>0</v>
      </c>
      <c r="T174">
        <f t="shared" si="5"/>
        <v>-3.649135485990139E-2</v>
      </c>
    </row>
    <row r="175" spans="1:20" x14ac:dyDescent="0.3">
      <c r="A175" s="5" t="s">
        <v>18</v>
      </c>
      <c r="B175" s="5">
        <v>7</v>
      </c>
      <c r="C175" s="5">
        <v>2023</v>
      </c>
      <c r="D175" s="5">
        <v>1.7294797369864101</v>
      </c>
      <c r="E175" s="2">
        <f>(15.2+16)/2</f>
        <v>15.6</v>
      </c>
      <c r="F175" s="2">
        <v>6.75</v>
      </c>
      <c r="G175" s="2">
        <v>6.45</v>
      </c>
      <c r="H175">
        <v>-1.05772292613983</v>
      </c>
      <c r="I175">
        <v>-0.462065368890762</v>
      </c>
      <c r="J175">
        <v>8.2041628658771501E-2</v>
      </c>
      <c r="K175">
        <v>-7.8939348459243802E-2</v>
      </c>
      <c r="L175">
        <v>-0.58217459917068504</v>
      </c>
      <c r="M175">
        <v>4.2024303227662999E-2</v>
      </c>
      <c r="N175">
        <v>0.40569511890411381</v>
      </c>
      <c r="O175">
        <v>0.5</v>
      </c>
      <c r="P175">
        <v>-5.7141531258821487E-2</v>
      </c>
      <c r="Q175">
        <v>0.44600480794906616</v>
      </c>
      <c r="R175">
        <v>1</v>
      </c>
      <c r="S175">
        <v>0</v>
      </c>
      <c r="T175">
        <f t="shared" si="5"/>
        <v>0.22502667863816661</v>
      </c>
    </row>
    <row r="176" spans="1:20" x14ac:dyDescent="0.3">
      <c r="A176" s="5" t="s">
        <v>18</v>
      </c>
      <c r="B176" s="5">
        <v>7</v>
      </c>
      <c r="C176" s="5">
        <v>2024</v>
      </c>
      <c r="D176" s="5">
        <v>1.97532234343415</v>
      </c>
      <c r="E176" s="2">
        <f>(13.8+14.5)/2</f>
        <v>14.15</v>
      </c>
      <c r="F176" s="2">
        <v>6</v>
      </c>
      <c r="G176" s="2">
        <v>5.0999999999999996</v>
      </c>
      <c r="H176">
        <v>-0.98527561426162702</v>
      </c>
      <c r="I176">
        <v>-0.57479628920555126</v>
      </c>
      <c r="J176">
        <v>2.3071600287221373E-2</v>
      </c>
      <c r="K176">
        <v>-0.14956735074520117</v>
      </c>
      <c r="L176">
        <v>-0.54897854328155538</v>
      </c>
      <c r="M176">
        <v>2.9679524013772586E-2</v>
      </c>
      <c r="N176">
        <v>0.39708564686775205</v>
      </c>
      <c r="O176">
        <v>0.5</v>
      </c>
      <c r="P176">
        <v>-5.7141531258821487E-2</v>
      </c>
      <c r="Q176">
        <v>0.44600480794906616</v>
      </c>
      <c r="R176">
        <v>1</v>
      </c>
      <c r="S176">
        <v>0</v>
      </c>
      <c r="T176">
        <f t="shared" si="5"/>
        <v>0.14214830112789675</v>
      </c>
    </row>
    <row r="177" spans="1:20" x14ac:dyDescent="0.3">
      <c r="A177" s="5" t="s">
        <v>17</v>
      </c>
      <c r="B177" s="5">
        <v>8</v>
      </c>
      <c r="C177" s="5">
        <v>2000</v>
      </c>
      <c r="D177" s="5">
        <v>0.26496864248760699</v>
      </c>
      <c r="E177">
        <v>47.5403296902657</v>
      </c>
      <c r="F177" s="2">
        <v>14.2</v>
      </c>
      <c r="G177">
        <v>19.4779090847607</v>
      </c>
      <c r="H177">
        <v>0.95740711688995395</v>
      </c>
      <c r="I177">
        <v>0.416957408189774</v>
      </c>
      <c r="J177">
        <v>0.92934954166412398</v>
      </c>
      <c r="K177">
        <v>0.74570304155349698</v>
      </c>
      <c r="L177">
        <v>0.55689126253128096</v>
      </c>
      <c r="M177">
        <v>0.98981243371963501</v>
      </c>
      <c r="N177">
        <v>0.66595083475112915</v>
      </c>
      <c r="O177">
        <v>0.52996659278869629</v>
      </c>
      <c r="P177">
        <v>2.2808303833007813</v>
      </c>
      <c r="Q177">
        <v>1</v>
      </c>
      <c r="R177">
        <v>1</v>
      </c>
      <c r="S177">
        <v>0</v>
      </c>
    </row>
    <row r="178" spans="1:20" x14ac:dyDescent="0.3">
      <c r="A178" s="5" t="s">
        <v>17</v>
      </c>
      <c r="B178" s="5">
        <v>8</v>
      </c>
      <c r="C178" s="5">
        <v>2001</v>
      </c>
      <c r="D178" s="5">
        <v>0.26496864248760699</v>
      </c>
      <c r="E178">
        <v>50.118448749755402</v>
      </c>
      <c r="F178" s="2">
        <v>17.8</v>
      </c>
      <c r="G178">
        <v>23.033118478943901</v>
      </c>
      <c r="H178">
        <v>0.9515751898288729</v>
      </c>
      <c r="I178">
        <v>0.5027820318937305</v>
      </c>
      <c r="J178">
        <v>0.88383844494819641</v>
      </c>
      <c r="K178">
        <v>0.65102899074554443</v>
      </c>
      <c r="L178">
        <v>0.61559200286865245</v>
      </c>
      <c r="M178">
        <v>1.0220794975757577</v>
      </c>
      <c r="N178">
        <v>0.26738196611404419</v>
      </c>
      <c r="O178">
        <v>0.48579463362693787</v>
      </c>
      <c r="P178">
        <v>2.2808303833007813</v>
      </c>
      <c r="Q178">
        <v>1</v>
      </c>
      <c r="R178">
        <v>1</v>
      </c>
      <c r="S178">
        <v>0</v>
      </c>
      <c r="T178">
        <f>((D178-D177)/D177)</f>
        <v>0</v>
      </c>
    </row>
    <row r="179" spans="1:20" x14ac:dyDescent="0.3">
      <c r="A179" s="5" t="s">
        <v>17</v>
      </c>
      <c r="B179" s="5">
        <v>8</v>
      </c>
      <c r="C179" s="5">
        <v>2002</v>
      </c>
      <c r="D179" s="5">
        <v>0.26496864248760699</v>
      </c>
      <c r="E179">
        <v>118.37994083333299</v>
      </c>
      <c r="F179" s="2">
        <v>65</v>
      </c>
      <c r="G179">
        <v>62.576329166666603</v>
      </c>
      <c r="H179">
        <v>0.94574326276779197</v>
      </c>
      <c r="I179">
        <v>0.58860665559768699</v>
      </c>
      <c r="J179">
        <v>0.83832734823226895</v>
      </c>
      <c r="K179">
        <v>0.556354939937592</v>
      </c>
      <c r="L179">
        <v>0.67429274320602395</v>
      </c>
      <c r="M179">
        <v>1.0543465614318801</v>
      </c>
      <c r="N179">
        <v>9.3303829431533813E-2</v>
      </c>
      <c r="O179">
        <v>0.39491990208625793</v>
      </c>
      <c r="P179">
        <v>2.2808303833007813</v>
      </c>
      <c r="Q179">
        <v>1</v>
      </c>
      <c r="R179">
        <v>1</v>
      </c>
      <c r="S179">
        <v>0</v>
      </c>
      <c r="T179">
        <f t="shared" ref="T179:T201" si="6">((D179-D178)/D178)</f>
        <v>0</v>
      </c>
    </row>
    <row r="180" spans="1:20" x14ac:dyDescent="0.3">
      <c r="A180" s="5" t="s">
        <v>17</v>
      </c>
      <c r="B180" s="5">
        <v>8</v>
      </c>
      <c r="C180" s="5">
        <v>2003</v>
      </c>
      <c r="D180" s="5">
        <v>0.51266102464807894</v>
      </c>
      <c r="E180">
        <v>58.940995833333297</v>
      </c>
      <c r="F180" s="2">
        <v>24.5</v>
      </c>
      <c r="G180">
        <v>29.687934166666601</v>
      </c>
      <c r="H180">
        <v>1.1014034748077399</v>
      </c>
      <c r="I180">
        <v>0.45694509148597701</v>
      </c>
      <c r="J180">
        <v>0.711256563663483</v>
      </c>
      <c r="K180">
        <v>0.31172630190849299</v>
      </c>
      <c r="L180">
        <v>0.656516373157501</v>
      </c>
      <c r="M180">
        <v>0.99251824617385898</v>
      </c>
      <c r="N180">
        <v>0.28625574707984924</v>
      </c>
      <c r="O180">
        <v>0.28423583507537842</v>
      </c>
      <c r="P180">
        <v>2.2808303833007813</v>
      </c>
      <c r="Q180">
        <v>1</v>
      </c>
      <c r="R180">
        <v>1</v>
      </c>
      <c r="S180">
        <v>0</v>
      </c>
      <c r="T180">
        <f t="shared" si="6"/>
        <v>0.9347988495357783</v>
      </c>
    </row>
    <row r="181" spans="1:20" x14ac:dyDescent="0.3">
      <c r="A181" s="5" t="s">
        <v>17</v>
      </c>
      <c r="B181" s="5">
        <v>8</v>
      </c>
      <c r="C181" s="5">
        <v>2004</v>
      </c>
      <c r="D181" s="5">
        <v>0.51070058635998505</v>
      </c>
      <c r="E181">
        <v>23.679114166666601</v>
      </c>
      <c r="F181" s="2">
        <v>12.2</v>
      </c>
      <c r="G181">
        <v>6.1986355833333304</v>
      </c>
      <c r="H181">
        <v>0.89405840635299705</v>
      </c>
      <c r="I181">
        <v>0.30318480730056802</v>
      </c>
      <c r="J181">
        <v>0.59096115827560403</v>
      </c>
      <c r="K181">
        <v>0.29997780919075001</v>
      </c>
      <c r="L181">
        <v>0.45637050271034202</v>
      </c>
      <c r="M181">
        <v>0.84271049499511697</v>
      </c>
      <c r="N181">
        <v>0.38977101445198059</v>
      </c>
      <c r="O181">
        <v>0.32576176524162292</v>
      </c>
      <c r="P181">
        <v>2.2808303833007813</v>
      </c>
      <c r="Q181">
        <v>1</v>
      </c>
      <c r="R181">
        <v>1</v>
      </c>
      <c r="S181">
        <v>0</v>
      </c>
      <c r="T181">
        <f t="shared" si="6"/>
        <v>-3.8240439468548489E-3</v>
      </c>
    </row>
    <row r="182" spans="1:20" x14ac:dyDescent="0.3">
      <c r="A182" s="5" t="s">
        <v>17</v>
      </c>
      <c r="B182" s="5">
        <v>8</v>
      </c>
      <c r="C182" s="5">
        <v>2005</v>
      </c>
      <c r="D182" s="5">
        <v>0.44198018204895001</v>
      </c>
      <c r="E182">
        <v>13.6095233333333</v>
      </c>
      <c r="F182" s="2">
        <v>6.4</v>
      </c>
      <c r="G182">
        <v>2.84322266666666</v>
      </c>
      <c r="H182">
        <v>1.0817685127258301</v>
      </c>
      <c r="I182">
        <v>0.492236137390137</v>
      </c>
      <c r="J182">
        <v>0.77766257524490401</v>
      </c>
      <c r="K182">
        <v>0.41782546043396002</v>
      </c>
      <c r="L182">
        <v>0.45884957909584001</v>
      </c>
      <c r="M182">
        <v>0.88573765754699696</v>
      </c>
      <c r="N182">
        <v>0.25546196103096008</v>
      </c>
      <c r="O182">
        <v>0.36666053533554077</v>
      </c>
      <c r="P182">
        <v>2.2808303833007813</v>
      </c>
      <c r="Q182">
        <v>1</v>
      </c>
      <c r="R182">
        <v>1</v>
      </c>
      <c r="S182">
        <v>0</v>
      </c>
      <c r="T182">
        <f t="shared" si="6"/>
        <v>-0.13456104446803019</v>
      </c>
    </row>
    <row r="183" spans="1:20" x14ac:dyDescent="0.3">
      <c r="A183" s="5" t="s">
        <v>17</v>
      </c>
      <c r="B183" s="5">
        <v>8</v>
      </c>
      <c r="C183" s="5">
        <v>2006</v>
      </c>
      <c r="D183" s="5">
        <v>0.45049756636965799</v>
      </c>
      <c r="E183">
        <v>9.2500157499999993</v>
      </c>
      <c r="F183" s="2">
        <v>6.1</v>
      </c>
      <c r="G183">
        <v>1.831296</v>
      </c>
      <c r="H183">
        <v>1.13004350662231</v>
      </c>
      <c r="I183">
        <v>0.37988367676734902</v>
      </c>
      <c r="J183">
        <v>0.89859956502914395</v>
      </c>
      <c r="K183">
        <v>0.40118101239204401</v>
      </c>
      <c r="L183">
        <v>0.55154734849929798</v>
      </c>
      <c r="M183">
        <v>1.03071081638336</v>
      </c>
      <c r="N183">
        <v>0.55652749538421631</v>
      </c>
      <c r="O183">
        <v>0.5286785364151001</v>
      </c>
      <c r="P183">
        <v>2.2808303833007813</v>
      </c>
      <c r="Q183">
        <v>1</v>
      </c>
      <c r="R183">
        <v>1</v>
      </c>
      <c r="S183">
        <v>0</v>
      </c>
      <c r="T183">
        <f t="shared" si="6"/>
        <v>1.9270964325193801E-2</v>
      </c>
    </row>
    <row r="184" spans="1:20" x14ac:dyDescent="0.3">
      <c r="A184" s="5" t="s">
        <v>17</v>
      </c>
      <c r="B184" s="5">
        <v>8</v>
      </c>
      <c r="C184" s="5">
        <v>2007</v>
      </c>
      <c r="D184" s="5">
        <v>0.40539927791178498</v>
      </c>
      <c r="E184">
        <v>8.9397039166666605</v>
      </c>
      <c r="F184" s="2">
        <v>7.1</v>
      </c>
      <c r="G184">
        <v>2.3611806666666602</v>
      </c>
      <c r="H184">
        <v>1.2809357643127399</v>
      </c>
      <c r="I184">
        <v>0.56316488981246904</v>
      </c>
      <c r="J184">
        <v>0.83553093671798695</v>
      </c>
      <c r="K184">
        <v>0.38037565350532498</v>
      </c>
      <c r="L184">
        <v>0.60070478916168202</v>
      </c>
      <c r="M184">
        <v>1.0455226898193399</v>
      </c>
      <c r="N184">
        <v>0.41780108213424683</v>
      </c>
      <c r="O184">
        <v>0.63366413116455078</v>
      </c>
      <c r="P184">
        <v>2.2808303833007813</v>
      </c>
      <c r="Q184">
        <v>1</v>
      </c>
      <c r="R184">
        <v>1</v>
      </c>
      <c r="S184">
        <v>0</v>
      </c>
      <c r="T184">
        <f t="shared" si="6"/>
        <v>-0.10010772937420795</v>
      </c>
    </row>
    <row r="185" spans="1:20" x14ac:dyDescent="0.3">
      <c r="A185" s="5" t="s">
        <v>17</v>
      </c>
      <c r="B185" s="5">
        <v>8</v>
      </c>
      <c r="C185" s="5">
        <v>2008</v>
      </c>
      <c r="D185" s="5">
        <v>0.34676535429828698</v>
      </c>
      <c r="E185">
        <v>12.4476125</v>
      </c>
      <c r="F185" s="2">
        <v>7.75</v>
      </c>
      <c r="G185">
        <v>3.2312572500000001</v>
      </c>
      <c r="H185">
        <v>1.34595167636871</v>
      </c>
      <c r="I185">
        <v>0.54195672273635898</v>
      </c>
      <c r="J185">
        <v>0.84508281946182295</v>
      </c>
      <c r="K185">
        <v>0.39692366123199502</v>
      </c>
      <c r="L185">
        <v>0.61366450786590598</v>
      </c>
      <c r="M185">
        <v>1.06214451789856</v>
      </c>
      <c r="N185">
        <v>0.19137434661388397</v>
      </c>
      <c r="O185">
        <v>0.62956511974334717</v>
      </c>
      <c r="P185">
        <v>2.2808303833007813</v>
      </c>
      <c r="Q185">
        <v>1</v>
      </c>
      <c r="R185">
        <v>1</v>
      </c>
      <c r="S185">
        <v>0</v>
      </c>
      <c r="T185">
        <f t="shared" si="6"/>
        <v>-0.14463253095940828</v>
      </c>
    </row>
    <row r="186" spans="1:20" x14ac:dyDescent="0.3">
      <c r="A186" s="5" t="s">
        <v>17</v>
      </c>
      <c r="B186" s="5">
        <v>8</v>
      </c>
      <c r="C186" s="5">
        <v>2009</v>
      </c>
      <c r="D186" s="5">
        <v>0.30901312831289002</v>
      </c>
      <c r="E186">
        <v>15.2848423858019</v>
      </c>
      <c r="F186">
        <v>6.25</v>
      </c>
      <c r="G186">
        <v>4.4005837369310301</v>
      </c>
      <c r="H186">
        <v>1.2500042915344201</v>
      </c>
      <c r="I186">
        <v>0.624378561973572</v>
      </c>
      <c r="J186">
        <v>0.78926098346710205</v>
      </c>
      <c r="K186">
        <v>0.50594687461853005</v>
      </c>
      <c r="L186">
        <v>0.75577473640441895</v>
      </c>
      <c r="M186">
        <v>1.1057940721511801</v>
      </c>
      <c r="N186">
        <v>0.25009140372276306</v>
      </c>
      <c r="O186">
        <v>0.43918487429618835</v>
      </c>
      <c r="P186">
        <v>2.2808303833007813</v>
      </c>
      <c r="Q186">
        <v>1</v>
      </c>
      <c r="R186">
        <v>1</v>
      </c>
      <c r="S186">
        <v>0</v>
      </c>
      <c r="T186">
        <f t="shared" si="6"/>
        <v>-0.10886965931701054</v>
      </c>
    </row>
    <row r="187" spans="1:20" x14ac:dyDescent="0.3">
      <c r="A187" s="5" t="s">
        <v>17</v>
      </c>
      <c r="B187" s="5">
        <v>8</v>
      </c>
      <c r="C187" s="5">
        <v>2010</v>
      </c>
      <c r="D187" s="5">
        <v>0.29771138171844802</v>
      </c>
      <c r="E187">
        <v>10.3262221820083</v>
      </c>
      <c r="F187">
        <v>6.5</v>
      </c>
      <c r="G187">
        <v>4.1657998619927703</v>
      </c>
      <c r="H187">
        <v>1.29770147800446</v>
      </c>
      <c r="I187">
        <v>0.63333219289779696</v>
      </c>
      <c r="J187">
        <v>0.82498604059219405</v>
      </c>
      <c r="K187">
        <v>0.59930658340454102</v>
      </c>
      <c r="L187">
        <v>0.78679060935974099</v>
      </c>
      <c r="M187">
        <v>1.14654517173767</v>
      </c>
      <c r="N187">
        <v>0.23856404423713684</v>
      </c>
      <c r="O187">
        <v>0.51036465167999268</v>
      </c>
      <c r="P187">
        <v>2.2808303833007813</v>
      </c>
      <c r="Q187">
        <v>1</v>
      </c>
      <c r="R187">
        <v>1</v>
      </c>
      <c r="S187">
        <v>0</v>
      </c>
      <c r="T187">
        <f t="shared" si="6"/>
        <v>-3.6573677811508574E-2</v>
      </c>
    </row>
    <row r="188" spans="1:20" x14ac:dyDescent="0.3">
      <c r="A188" s="5" t="s">
        <v>17</v>
      </c>
      <c r="B188" s="5">
        <v>8</v>
      </c>
      <c r="C188" s="5">
        <v>2011</v>
      </c>
      <c r="D188" s="5">
        <v>0.25591943267140499</v>
      </c>
      <c r="E188">
        <v>9.7818207418277296</v>
      </c>
      <c r="F188">
        <v>8.75</v>
      </c>
      <c r="G188">
        <v>4.5546312278437204</v>
      </c>
      <c r="H188">
        <v>1.28997790813446</v>
      </c>
      <c r="I188">
        <v>0.53962391614913896</v>
      </c>
      <c r="J188">
        <v>0.95709693431854204</v>
      </c>
      <c r="K188">
        <v>0.60919618606567405</v>
      </c>
      <c r="L188">
        <v>0.73159444332122803</v>
      </c>
      <c r="M188">
        <v>1.1214314699173</v>
      </c>
      <c r="N188">
        <v>0.23701700568199158</v>
      </c>
      <c r="O188">
        <v>0.54089176654815674</v>
      </c>
      <c r="P188">
        <v>2.2808303833007813</v>
      </c>
      <c r="Q188">
        <v>1</v>
      </c>
      <c r="R188">
        <v>1</v>
      </c>
      <c r="S188">
        <v>0</v>
      </c>
      <c r="T188">
        <f t="shared" si="6"/>
        <v>-0.14037739775285638</v>
      </c>
    </row>
    <row r="189" spans="1:20" x14ac:dyDescent="0.3">
      <c r="A189" s="5" t="s">
        <v>17</v>
      </c>
      <c r="B189" s="5">
        <v>8</v>
      </c>
      <c r="C189" s="5">
        <v>2012</v>
      </c>
      <c r="D189" s="5">
        <v>0.168907169778097</v>
      </c>
      <c r="E189">
        <v>11.199192156568101</v>
      </c>
      <c r="F189">
        <v>9.25</v>
      </c>
      <c r="G189">
        <v>4.4498266771948396</v>
      </c>
      <c r="H189">
        <v>1.3781168460845901</v>
      </c>
      <c r="I189">
        <v>0.41585850715637201</v>
      </c>
      <c r="J189">
        <v>0.70916777849197399</v>
      </c>
      <c r="K189">
        <v>0.59908908605575595</v>
      </c>
      <c r="L189">
        <v>0.61468869447708097</v>
      </c>
      <c r="M189">
        <v>1.0609667301178001</v>
      </c>
      <c r="N189">
        <v>0.24418659508228302</v>
      </c>
      <c r="O189">
        <v>0.64861321449279785</v>
      </c>
      <c r="P189">
        <v>2.2808303833007813</v>
      </c>
      <c r="Q189">
        <v>1</v>
      </c>
      <c r="R189">
        <v>1</v>
      </c>
      <c r="S189">
        <v>0</v>
      </c>
      <c r="T189">
        <f t="shared" si="6"/>
        <v>-0.33999865498697729</v>
      </c>
    </row>
    <row r="190" spans="1:20" x14ac:dyDescent="0.3">
      <c r="A190" s="5" t="s">
        <v>17</v>
      </c>
      <c r="B190" s="5">
        <v>8</v>
      </c>
      <c r="C190" s="5">
        <v>2013</v>
      </c>
      <c r="D190" s="5">
        <v>0.16115472902649799</v>
      </c>
      <c r="E190">
        <v>12.4340649587398</v>
      </c>
      <c r="F190" s="2">
        <v>11.5</v>
      </c>
      <c r="G190">
        <v>4.6479407895940996</v>
      </c>
      <c r="H190">
        <v>1.3972257375717201</v>
      </c>
      <c r="I190">
        <v>0.39732158184051503</v>
      </c>
      <c r="J190">
        <v>0.80473822355270397</v>
      </c>
      <c r="K190">
        <v>0.715800821781158</v>
      </c>
      <c r="L190">
        <v>0.57660913467407204</v>
      </c>
      <c r="M190">
        <v>1.0852010250091599</v>
      </c>
      <c r="N190">
        <v>0.24635469913482666</v>
      </c>
      <c r="O190">
        <v>0.42609915137290955</v>
      </c>
      <c r="P190">
        <v>2.2808303833007813</v>
      </c>
      <c r="Q190">
        <v>1</v>
      </c>
      <c r="R190">
        <v>1</v>
      </c>
      <c r="S190">
        <v>0</v>
      </c>
      <c r="T190">
        <f t="shared" si="6"/>
        <v>-4.5897641655968949E-2</v>
      </c>
    </row>
    <row r="191" spans="1:20" x14ac:dyDescent="0.3">
      <c r="A191" s="5" t="s">
        <v>17</v>
      </c>
      <c r="B191" s="5">
        <v>8</v>
      </c>
      <c r="C191" s="5">
        <v>2014</v>
      </c>
      <c r="D191" s="5">
        <v>0.15908431079509</v>
      </c>
      <c r="E191">
        <v>15.5341402019915</v>
      </c>
      <c r="F191" s="2">
        <v>14.5</v>
      </c>
      <c r="G191">
        <v>4.8980549817205903</v>
      </c>
      <c r="H191">
        <v>1.3880932331085201</v>
      </c>
      <c r="I191">
        <v>0.43504112958908098</v>
      </c>
      <c r="J191">
        <v>0.99187958240509</v>
      </c>
      <c r="K191">
        <v>0.723710596561432</v>
      </c>
      <c r="L191">
        <v>0.761607766151428</v>
      </c>
      <c r="M191">
        <v>1.10781645774841</v>
      </c>
      <c r="N191">
        <v>0.33913686871528625</v>
      </c>
      <c r="O191">
        <v>0.46792596578598022</v>
      </c>
      <c r="P191">
        <v>2.2808303833007813</v>
      </c>
      <c r="Q191">
        <v>1</v>
      </c>
      <c r="R191">
        <v>1</v>
      </c>
      <c r="S191">
        <v>0</v>
      </c>
      <c r="T191">
        <f t="shared" si="6"/>
        <v>-1.2847393582024913E-2</v>
      </c>
    </row>
    <row r="192" spans="1:20" x14ac:dyDescent="0.3">
      <c r="A192" s="5" t="s">
        <v>17</v>
      </c>
      <c r="B192" s="5">
        <v>8</v>
      </c>
      <c r="C192" s="5">
        <v>2015</v>
      </c>
      <c r="D192" s="5">
        <v>0.15649539689952299</v>
      </c>
      <c r="E192">
        <v>15.8410813948786</v>
      </c>
      <c r="F192" s="2">
        <v>14</v>
      </c>
      <c r="G192">
        <v>5.6023041003074399</v>
      </c>
      <c r="H192">
        <v>1.3004002571105999</v>
      </c>
      <c r="I192">
        <v>0.45468613505363498</v>
      </c>
      <c r="J192">
        <v>0.99488931894302401</v>
      </c>
      <c r="K192">
        <v>0.58802616596221902</v>
      </c>
      <c r="L192">
        <v>0.73654294013977095</v>
      </c>
      <c r="M192">
        <v>1.1433415412902801</v>
      </c>
      <c r="N192">
        <v>0.39058971405029297</v>
      </c>
      <c r="O192">
        <v>0.43280303478240967</v>
      </c>
      <c r="P192">
        <v>2.2808303833007813</v>
      </c>
      <c r="Q192">
        <v>1</v>
      </c>
      <c r="R192">
        <v>1</v>
      </c>
      <c r="S192">
        <v>0</v>
      </c>
      <c r="T192">
        <f t="shared" si="6"/>
        <v>-1.6273848015733505E-2</v>
      </c>
    </row>
    <row r="193" spans="1:20" x14ac:dyDescent="0.3">
      <c r="A193" s="5" t="s">
        <v>17</v>
      </c>
      <c r="B193" s="5">
        <v>8</v>
      </c>
      <c r="C193" s="5">
        <v>2016</v>
      </c>
      <c r="D193" s="5">
        <v>0.157345013875127</v>
      </c>
      <c r="E193">
        <v>16.1703130380291</v>
      </c>
      <c r="F193" s="2">
        <v>13.5</v>
      </c>
      <c r="G193">
        <v>5.5657957749451699</v>
      </c>
      <c r="H193">
        <v>1.2470567226409901</v>
      </c>
      <c r="I193">
        <v>0.50496721267700195</v>
      </c>
      <c r="J193">
        <v>1.0485217571258501</v>
      </c>
      <c r="K193">
        <v>0.68127536773681596</v>
      </c>
      <c r="L193">
        <v>0.61905544996261597</v>
      </c>
      <c r="M193">
        <v>1.1630063056945801</v>
      </c>
      <c r="N193">
        <v>0.28809168934822083</v>
      </c>
      <c r="O193">
        <v>0.59294480085372925</v>
      </c>
      <c r="P193">
        <v>2.2808303833007813</v>
      </c>
      <c r="Q193">
        <v>1</v>
      </c>
      <c r="R193">
        <v>1</v>
      </c>
      <c r="S193">
        <v>0</v>
      </c>
      <c r="T193">
        <f t="shared" si="6"/>
        <v>5.4290221465715287E-3</v>
      </c>
    </row>
    <row r="194" spans="1:20" x14ac:dyDescent="0.3">
      <c r="A194" s="5" t="s">
        <v>17</v>
      </c>
      <c r="B194" s="5">
        <v>8</v>
      </c>
      <c r="C194" s="5">
        <v>2017</v>
      </c>
      <c r="D194" s="5">
        <v>0.168263788380593</v>
      </c>
      <c r="E194">
        <v>13.833458143219101</v>
      </c>
      <c r="F194" s="2">
        <v>11.5</v>
      </c>
      <c r="G194">
        <v>5.0661318168673697</v>
      </c>
      <c r="H194">
        <v>1.25341796875</v>
      </c>
      <c r="I194">
        <v>0.404940634965897</v>
      </c>
      <c r="J194">
        <v>1.0400922298431401</v>
      </c>
      <c r="K194">
        <v>0.64454829692840598</v>
      </c>
      <c r="L194">
        <v>0.55714291334152199</v>
      </c>
      <c r="M194">
        <v>1.1673538684845</v>
      </c>
      <c r="N194">
        <v>0.40164297819137573</v>
      </c>
      <c r="O194">
        <v>0.61027157306671143</v>
      </c>
      <c r="P194">
        <v>2.2808303833007813</v>
      </c>
      <c r="Q194">
        <v>1</v>
      </c>
      <c r="R194">
        <v>1</v>
      </c>
      <c r="S194">
        <v>0</v>
      </c>
      <c r="T194">
        <f t="shared" si="6"/>
        <v>6.9393838651483492E-2</v>
      </c>
    </row>
    <row r="195" spans="1:20" x14ac:dyDescent="0.3">
      <c r="A195" s="5" t="s">
        <v>17</v>
      </c>
      <c r="B195" s="5">
        <v>8</v>
      </c>
      <c r="C195" s="5">
        <v>2018</v>
      </c>
      <c r="D195" s="5">
        <v>0.17439503617805899</v>
      </c>
      <c r="E195">
        <v>12.2011847445859</v>
      </c>
      <c r="F195" s="2">
        <v>10.5</v>
      </c>
      <c r="G195">
        <v>5.1218436305596704</v>
      </c>
      <c r="H195">
        <v>1.20765292644501</v>
      </c>
      <c r="I195">
        <v>0.50486487150192305</v>
      </c>
      <c r="J195">
        <v>1.0241460800170901</v>
      </c>
      <c r="K195">
        <v>0.62303161621093806</v>
      </c>
      <c r="L195">
        <v>0.57074719667434703</v>
      </c>
      <c r="M195">
        <v>1.1910809278488199</v>
      </c>
      <c r="N195">
        <v>0.23165057599544525</v>
      </c>
      <c r="O195">
        <v>0.69005656242370605</v>
      </c>
      <c r="P195">
        <v>2.2808303833007813</v>
      </c>
      <c r="Q195">
        <v>1</v>
      </c>
      <c r="R195">
        <v>1</v>
      </c>
      <c r="S195">
        <v>0</v>
      </c>
      <c r="T195">
        <f t="shared" si="6"/>
        <v>3.6438308304326442E-2</v>
      </c>
    </row>
    <row r="196" spans="1:20" x14ac:dyDescent="0.3">
      <c r="A196" s="5" t="s">
        <v>17</v>
      </c>
      <c r="B196" s="5">
        <v>8</v>
      </c>
      <c r="C196" s="5">
        <v>2019</v>
      </c>
      <c r="D196" s="5">
        <v>0.18043640854809401</v>
      </c>
      <c r="E196">
        <v>11.5571850608681</v>
      </c>
      <c r="F196" s="2">
        <v>11</v>
      </c>
      <c r="G196">
        <v>5.0671785488715404</v>
      </c>
      <c r="H196">
        <v>1.19539678096771</v>
      </c>
      <c r="I196">
        <v>0.64302086830139205</v>
      </c>
      <c r="J196">
        <v>1.02829706668854</v>
      </c>
      <c r="K196">
        <v>0.61363160610198997</v>
      </c>
      <c r="L196">
        <v>0.60346806049346902</v>
      </c>
      <c r="M196">
        <v>1.2250275611877399</v>
      </c>
      <c r="N196">
        <v>0.29560673236846924</v>
      </c>
      <c r="O196">
        <v>0.68325519561767578</v>
      </c>
      <c r="P196">
        <v>2.2808303833007813</v>
      </c>
      <c r="Q196">
        <v>1</v>
      </c>
      <c r="R196">
        <v>1</v>
      </c>
      <c r="S196">
        <v>0</v>
      </c>
      <c r="T196">
        <f t="shared" si="6"/>
        <v>3.4641882604197066E-2</v>
      </c>
    </row>
    <row r="197" spans="1:20" x14ac:dyDescent="0.3">
      <c r="A197" s="5" t="s">
        <v>17</v>
      </c>
      <c r="B197" s="5">
        <v>8</v>
      </c>
      <c r="C197" s="5">
        <v>2020</v>
      </c>
      <c r="D197" s="5">
        <v>0.20746587122773899</v>
      </c>
      <c r="E197">
        <v>11.2312594501517</v>
      </c>
      <c r="F197" s="2">
        <v>4.5</v>
      </c>
      <c r="G197">
        <v>4.7946160585115303</v>
      </c>
      <c r="H197">
        <v>1.3646667003631601</v>
      </c>
      <c r="I197">
        <v>0.73021095991134599</v>
      </c>
      <c r="J197">
        <v>1.05496430397034</v>
      </c>
      <c r="K197">
        <v>0.68718004226684604</v>
      </c>
      <c r="L197">
        <v>0.64740502834320102</v>
      </c>
      <c r="M197">
        <v>1.3067704439163199</v>
      </c>
      <c r="N197">
        <v>0.23880286514759064</v>
      </c>
      <c r="O197">
        <v>0.79468142986297607</v>
      </c>
      <c r="P197">
        <v>2.2808303833007813</v>
      </c>
      <c r="Q197">
        <v>1</v>
      </c>
      <c r="R197">
        <v>1</v>
      </c>
      <c r="S197">
        <v>0</v>
      </c>
      <c r="T197">
        <f t="shared" si="6"/>
        <v>0.14980049147032584</v>
      </c>
    </row>
    <row r="198" spans="1:20" x14ac:dyDescent="0.3">
      <c r="A198" s="5" t="s">
        <v>17</v>
      </c>
      <c r="B198" s="5">
        <v>8</v>
      </c>
      <c r="C198" s="5">
        <v>2021</v>
      </c>
      <c r="D198" s="5">
        <v>0.207005780162034</v>
      </c>
      <c r="E198">
        <v>7.4506482080861396</v>
      </c>
      <c r="F198" s="2">
        <v>5.75</v>
      </c>
      <c r="G198">
        <v>3.7990383786231701</v>
      </c>
      <c r="H198">
        <v>1.58596456050873</v>
      </c>
      <c r="I198">
        <v>0.79966223239898704</v>
      </c>
      <c r="J198">
        <v>1.04597175121307</v>
      </c>
      <c r="K198">
        <v>0.71914297342300404</v>
      </c>
      <c r="L198">
        <v>0.69806218147277799</v>
      </c>
      <c r="M198">
        <v>1.2864142656326301</v>
      </c>
      <c r="N198">
        <v>0.29115896821022036</v>
      </c>
      <c r="O198">
        <v>0.67424191236495967</v>
      </c>
      <c r="P198">
        <v>2.2808303833007813</v>
      </c>
      <c r="Q198">
        <v>1</v>
      </c>
      <c r="R198">
        <v>1</v>
      </c>
      <c r="S198">
        <v>0</v>
      </c>
      <c r="T198">
        <f t="shared" si="6"/>
        <v>-2.2176710944420476E-3</v>
      </c>
    </row>
    <row r="199" spans="1:20" x14ac:dyDescent="0.3">
      <c r="A199" s="5" t="s">
        <v>17</v>
      </c>
      <c r="B199" s="5">
        <v>8</v>
      </c>
      <c r="C199" s="5">
        <v>2022</v>
      </c>
      <c r="D199" s="5">
        <v>0.17730460344764901</v>
      </c>
      <c r="E199">
        <v>10.865362226884301</v>
      </c>
      <c r="F199" s="2">
        <v>11.5</v>
      </c>
      <c r="G199">
        <v>6.2350042332006002</v>
      </c>
      <c r="H199">
        <v>1.61050200462341</v>
      </c>
      <c r="I199">
        <v>0.84958767890930198</v>
      </c>
      <c r="J199">
        <v>1.0858296155929601</v>
      </c>
      <c r="K199">
        <v>0.71357941627502397</v>
      </c>
      <c r="L199">
        <v>0.76794749498367298</v>
      </c>
      <c r="M199">
        <v>1.28492343425751</v>
      </c>
      <c r="N199">
        <v>0.29177242398262021</v>
      </c>
      <c r="O199">
        <v>0.69050133466720587</v>
      </c>
      <c r="P199">
        <v>2.2808303833007813</v>
      </c>
      <c r="Q199">
        <v>1</v>
      </c>
      <c r="R199">
        <v>1</v>
      </c>
      <c r="S199">
        <v>0</v>
      </c>
      <c r="T199">
        <f t="shared" si="6"/>
        <v>-0.14347993901975281</v>
      </c>
    </row>
    <row r="200" spans="1:20" x14ac:dyDescent="0.3">
      <c r="A200" s="5" t="s">
        <v>17</v>
      </c>
      <c r="B200" s="5">
        <v>8</v>
      </c>
      <c r="C200" s="5">
        <v>2023</v>
      </c>
      <c r="D200" s="5">
        <v>0.17259335270453299</v>
      </c>
      <c r="E200">
        <v>11.8954328669923</v>
      </c>
      <c r="F200" s="2">
        <v>9</v>
      </c>
      <c r="G200">
        <v>8.1013606093453294</v>
      </c>
      <c r="H200">
        <v>1.57394731044769</v>
      </c>
      <c r="I200">
        <v>0.85024970769882202</v>
      </c>
      <c r="J200">
        <v>0.96488714218139604</v>
      </c>
      <c r="K200">
        <v>0.67511105537414595</v>
      </c>
      <c r="L200">
        <v>0.717662572860718</v>
      </c>
      <c r="M200">
        <v>1.2837938070297199</v>
      </c>
      <c r="N200">
        <v>0.26979831314086911</v>
      </c>
      <c r="O200">
        <v>0.70654728698730473</v>
      </c>
      <c r="P200">
        <v>2.2808303833007813</v>
      </c>
      <c r="Q200">
        <v>1</v>
      </c>
      <c r="R200">
        <v>1</v>
      </c>
      <c r="S200">
        <v>0</v>
      </c>
      <c r="T200">
        <f t="shared" si="6"/>
        <v>-2.6571508305519312E-2</v>
      </c>
    </row>
    <row r="201" spans="1:20" x14ac:dyDescent="0.3">
      <c r="A201" s="5" t="s">
        <v>17</v>
      </c>
      <c r="B201" s="5">
        <v>8</v>
      </c>
      <c r="C201" s="5">
        <v>2024</v>
      </c>
      <c r="D201" s="5">
        <v>0.16813172308693999</v>
      </c>
      <c r="E201">
        <v>9.9070947772529898</v>
      </c>
      <c r="F201" s="2">
        <v>8.5</v>
      </c>
      <c r="G201">
        <v>7.3018548591170704</v>
      </c>
      <c r="H201">
        <v>1.4660954713821399</v>
      </c>
      <c r="I201">
        <v>0.77454628944396975</v>
      </c>
      <c r="J201">
        <v>1.0359899759292612</v>
      </c>
      <c r="K201">
        <v>0.68172901868820202</v>
      </c>
      <c r="L201">
        <v>0.68690906763076787</v>
      </c>
      <c r="M201">
        <v>1.277385902404784</v>
      </c>
      <c r="N201">
        <v>0.27742786056995394</v>
      </c>
      <c r="O201">
        <v>0.70984543190002447</v>
      </c>
      <c r="P201">
        <v>2.2808303833007813</v>
      </c>
      <c r="Q201">
        <v>1</v>
      </c>
      <c r="R201">
        <v>1</v>
      </c>
      <c r="S201">
        <v>0</v>
      </c>
      <c r="T201">
        <f t="shared" si="6"/>
        <v>-2.5850529859229157E-2</v>
      </c>
    </row>
    <row r="202" spans="1:20" x14ac:dyDescent="0.3">
      <c r="A202" s="4" t="s">
        <v>16</v>
      </c>
      <c r="B202" s="4">
        <v>9</v>
      </c>
      <c r="C202" s="4">
        <v>2000</v>
      </c>
      <c r="D202" s="4">
        <v>16.6770344143812</v>
      </c>
      <c r="E202">
        <v>22.102499999999999</v>
      </c>
      <c r="F202" s="2">
        <v>18</v>
      </c>
      <c r="G202">
        <v>8.3025000000000002</v>
      </c>
      <c r="H202">
        <v>-0.85556364059448198</v>
      </c>
      <c r="I202">
        <v>-0.917780160903931</v>
      </c>
      <c r="J202">
        <v>-0.53998959064483598</v>
      </c>
      <c r="K202">
        <v>-0.415910124778748</v>
      </c>
      <c r="L202">
        <v>-1.02066767215729</v>
      </c>
      <c r="M202">
        <v>-0.28513866662979098</v>
      </c>
      <c r="N202">
        <v>0.28643608093261719</v>
      </c>
      <c r="O202">
        <v>0.77662837505340576</v>
      </c>
      <c r="P202">
        <v>-0.17476625740528107</v>
      </c>
      <c r="Q202">
        <v>0.4181329607963562</v>
      </c>
      <c r="R202">
        <v>0</v>
      </c>
      <c r="S202">
        <v>1</v>
      </c>
    </row>
    <row r="203" spans="1:20" x14ac:dyDescent="0.3">
      <c r="A203" s="4" t="s">
        <v>16</v>
      </c>
      <c r="B203" s="4">
        <v>9</v>
      </c>
      <c r="C203" s="4">
        <v>2001</v>
      </c>
      <c r="D203" s="4">
        <v>17.228109591070101</v>
      </c>
      <c r="E203">
        <v>19.654166666666601</v>
      </c>
      <c r="F203" s="2">
        <v>8.5</v>
      </c>
      <c r="G203">
        <v>7.7249999999999996</v>
      </c>
      <c r="H203">
        <v>-0.85045227408409096</v>
      </c>
      <c r="I203">
        <v>-0.77105677127838157</v>
      </c>
      <c r="J203">
        <v>-0.41885438561439503</v>
      </c>
      <c r="K203">
        <v>-0.36365544795990001</v>
      </c>
      <c r="L203">
        <v>-0.89149454236030701</v>
      </c>
      <c r="M203">
        <v>-0.14664443815127001</v>
      </c>
      <c r="N203">
        <v>0.38634562492370605</v>
      </c>
      <c r="O203">
        <v>0.7044861912727356</v>
      </c>
      <c r="P203">
        <v>-0.17476625740528107</v>
      </c>
      <c r="Q203">
        <v>0.4181329607963562</v>
      </c>
      <c r="R203">
        <v>0</v>
      </c>
      <c r="S203">
        <v>1</v>
      </c>
      <c r="T203">
        <f>((D203-D202)/D202)</f>
        <v>3.3043955117924871E-2</v>
      </c>
    </row>
    <row r="204" spans="1:20" x14ac:dyDescent="0.3">
      <c r="A204" s="4" t="s">
        <v>16</v>
      </c>
      <c r="B204" s="4">
        <v>9</v>
      </c>
      <c r="C204" s="4">
        <v>2002</v>
      </c>
      <c r="D204" s="4">
        <v>16.247386348192698</v>
      </c>
      <c r="E204">
        <v>15.3041666666666</v>
      </c>
      <c r="F204">
        <v>8.5</v>
      </c>
      <c r="G204">
        <v>8.5383333333333304</v>
      </c>
      <c r="H204">
        <v>-0.84534090757369995</v>
      </c>
      <c r="I204">
        <v>-0.62433338165283203</v>
      </c>
      <c r="J204">
        <v>-0.29771918058395402</v>
      </c>
      <c r="K204">
        <v>-0.31140077114105202</v>
      </c>
      <c r="L204">
        <v>-0.76232141256332397</v>
      </c>
      <c r="M204">
        <v>-8.1502096727490408E-3</v>
      </c>
      <c r="N204">
        <v>0.30000072717666626</v>
      </c>
      <c r="O204">
        <v>0.41319170594215393</v>
      </c>
      <c r="P204">
        <v>-0.17476625740528107</v>
      </c>
      <c r="Q204">
        <v>0.4181329607963562</v>
      </c>
      <c r="R204">
        <v>0</v>
      </c>
      <c r="S204">
        <v>1</v>
      </c>
      <c r="T204">
        <f t="shared" ref="T204:T226" si="7">((D204-D203)/D203)</f>
        <v>-5.6925760640955302E-2</v>
      </c>
    </row>
    <row r="205" spans="1:20" x14ac:dyDescent="0.3">
      <c r="A205" s="4" t="s">
        <v>16</v>
      </c>
      <c r="B205" s="4">
        <v>9</v>
      </c>
      <c r="C205" s="4">
        <v>2003</v>
      </c>
      <c r="D205" s="4">
        <v>15.3187296457995</v>
      </c>
      <c r="E205">
        <v>14.2708333333333</v>
      </c>
      <c r="F205">
        <v>6.5</v>
      </c>
      <c r="G205">
        <v>8.3754973942843698</v>
      </c>
      <c r="H205">
        <v>-0.85378658771514904</v>
      </c>
      <c r="I205">
        <v>-0.56398671865463301</v>
      </c>
      <c r="J205">
        <v>-0.30978024005889898</v>
      </c>
      <c r="K205">
        <v>-0.49021655321121199</v>
      </c>
      <c r="L205">
        <v>-0.71632349491119396</v>
      </c>
      <c r="M205">
        <v>7.0307686924934401E-2</v>
      </c>
      <c r="N205">
        <v>0.25266307592391968</v>
      </c>
      <c r="O205">
        <v>0.58313268423080444</v>
      </c>
      <c r="P205">
        <v>-0.17476625740528107</v>
      </c>
      <c r="Q205">
        <v>0.4181329607963562</v>
      </c>
      <c r="R205">
        <v>0</v>
      </c>
      <c r="S205">
        <v>1</v>
      </c>
      <c r="T205">
        <f t="shared" si="7"/>
        <v>-5.7157297948817375E-2</v>
      </c>
    </row>
    <row r="206" spans="1:20" x14ac:dyDescent="0.3">
      <c r="A206" s="4" t="s">
        <v>16</v>
      </c>
      <c r="B206" s="4">
        <v>9</v>
      </c>
      <c r="C206" s="4">
        <v>2004</v>
      </c>
      <c r="D206" s="4">
        <v>15.670684644424</v>
      </c>
      <c r="E206">
        <v>11.761521834448599</v>
      </c>
      <c r="F206">
        <v>5.25</v>
      </c>
      <c r="G206">
        <v>6.6066948508446499</v>
      </c>
      <c r="H206">
        <v>-0.72373181581497203</v>
      </c>
      <c r="I206">
        <v>-0.40837165713310197</v>
      </c>
      <c r="J206">
        <v>-0.42725968360900901</v>
      </c>
      <c r="K206">
        <v>-0.187491565942764</v>
      </c>
      <c r="L206">
        <v>-0.70103234052658103</v>
      </c>
      <c r="M206">
        <v>7.2374991141259696E-3</v>
      </c>
      <c r="N206">
        <v>0.34791651368141174</v>
      </c>
      <c r="O206">
        <v>0.50985181331634521</v>
      </c>
      <c r="P206">
        <v>-0.17476625740528107</v>
      </c>
      <c r="Q206">
        <v>0.4181329607963562</v>
      </c>
      <c r="R206">
        <v>0</v>
      </c>
      <c r="S206">
        <v>1</v>
      </c>
      <c r="T206">
        <f t="shared" si="7"/>
        <v>2.2975469034471022E-2</v>
      </c>
    </row>
    <row r="207" spans="1:20" x14ac:dyDescent="0.3">
      <c r="A207" s="4" t="s">
        <v>16</v>
      </c>
      <c r="B207" s="4">
        <v>9</v>
      </c>
      <c r="C207" s="4">
        <v>2005</v>
      </c>
      <c r="D207" s="4">
        <v>15.6201731609198</v>
      </c>
      <c r="E207">
        <v>13.074999999999999</v>
      </c>
      <c r="F207">
        <v>5</v>
      </c>
      <c r="G207">
        <v>5.0875508723128</v>
      </c>
      <c r="H207">
        <v>-0.81326389312744096</v>
      </c>
      <c r="I207">
        <v>-0.69638723134994496</v>
      </c>
      <c r="J207">
        <v>-0.50504797697067305</v>
      </c>
      <c r="K207">
        <v>-0.40073123574256903</v>
      </c>
      <c r="L207">
        <v>-0.76383316516876198</v>
      </c>
      <c r="M207">
        <v>3.6717876791954001E-3</v>
      </c>
      <c r="N207">
        <v>0.32576680183410645</v>
      </c>
      <c r="O207">
        <v>0.73164284229278564</v>
      </c>
      <c r="P207">
        <v>-0.17476625740528107</v>
      </c>
      <c r="Q207">
        <v>0.4181329607963562</v>
      </c>
      <c r="R207">
        <v>0</v>
      </c>
      <c r="S207">
        <v>1</v>
      </c>
      <c r="T207">
        <f t="shared" si="7"/>
        <v>-3.2233105732348208E-3</v>
      </c>
    </row>
    <row r="208" spans="1:20" x14ac:dyDescent="0.3">
      <c r="A208" s="4" t="s">
        <v>16</v>
      </c>
      <c r="B208" s="4">
        <v>9</v>
      </c>
      <c r="C208" s="4">
        <v>2006</v>
      </c>
      <c r="D208" s="4">
        <v>14.856708869986299</v>
      </c>
      <c r="E208">
        <v>12.939942861851399</v>
      </c>
      <c r="F208">
        <v>5.5</v>
      </c>
      <c r="G208">
        <v>5.2274252188789099</v>
      </c>
      <c r="H208">
        <v>-0.79054528474807695</v>
      </c>
      <c r="I208">
        <v>-0.58095264434814498</v>
      </c>
      <c r="J208">
        <v>-0.50815731287002597</v>
      </c>
      <c r="K208">
        <v>-0.14859938621520999</v>
      </c>
      <c r="L208">
        <v>-0.70313584804534901</v>
      </c>
      <c r="M208">
        <v>7.5889959931373596E-2</v>
      </c>
      <c r="N208">
        <v>0.36522206664085388</v>
      </c>
      <c r="O208">
        <v>0.72770142555236816</v>
      </c>
      <c r="P208">
        <v>-1.2538762092590332</v>
      </c>
      <c r="Q208">
        <v>0.1624319851398468</v>
      </c>
      <c r="R208">
        <v>0</v>
      </c>
      <c r="S208">
        <v>1</v>
      </c>
      <c r="T208">
        <f t="shared" si="7"/>
        <v>-4.8876813532619218E-2</v>
      </c>
    </row>
    <row r="209" spans="1:20" x14ac:dyDescent="0.3">
      <c r="A209" s="4" t="s">
        <v>16</v>
      </c>
      <c r="B209" s="4">
        <v>9</v>
      </c>
      <c r="C209" s="4">
        <v>2007</v>
      </c>
      <c r="D209" s="4">
        <v>13.205255054815799</v>
      </c>
      <c r="E209">
        <v>14.099622787166201</v>
      </c>
      <c r="F209">
        <v>6.25</v>
      </c>
      <c r="G209">
        <v>5.6590985397926996</v>
      </c>
      <c r="H209">
        <v>-0.70694005489349399</v>
      </c>
      <c r="I209">
        <v>-0.42772254347801197</v>
      </c>
      <c r="J209">
        <v>-0.203974649310112</v>
      </c>
      <c r="K209">
        <v>3.4550301730632803E-2</v>
      </c>
      <c r="L209">
        <v>-0.66154599189758301</v>
      </c>
      <c r="M209">
        <v>0.11300846934318499</v>
      </c>
      <c r="N209">
        <v>0.33418211340904236</v>
      </c>
      <c r="O209">
        <v>0.76956230401992798</v>
      </c>
      <c r="P209">
        <v>-1.2538762092590332</v>
      </c>
      <c r="Q209">
        <v>0.1624319851398468</v>
      </c>
      <c r="R209">
        <v>0</v>
      </c>
      <c r="S209">
        <v>1</v>
      </c>
      <c r="T209">
        <f t="shared" si="7"/>
        <v>-0.11115879227510386</v>
      </c>
    </row>
    <row r="210" spans="1:20" x14ac:dyDescent="0.3">
      <c r="A210" s="4" t="s">
        <v>16</v>
      </c>
      <c r="B210" s="4">
        <v>9</v>
      </c>
      <c r="C210" s="4">
        <v>2008</v>
      </c>
      <c r="D210" s="4">
        <v>14.0708275191369</v>
      </c>
      <c r="E210">
        <v>13.019642712880099</v>
      </c>
      <c r="F210">
        <v>6.25</v>
      </c>
      <c r="G210">
        <v>6.8027423879367204</v>
      </c>
      <c r="H210">
        <v>-0.60521239042282104</v>
      </c>
      <c r="I210">
        <v>-0.36706349253654502</v>
      </c>
      <c r="J210">
        <v>-3.0500913038849799E-2</v>
      </c>
      <c r="K210">
        <v>0.13766650855541199</v>
      </c>
      <c r="L210">
        <v>-0.60007929801940896</v>
      </c>
      <c r="M210">
        <v>0.17493908107280701</v>
      </c>
      <c r="N210">
        <v>0.16508126258850098</v>
      </c>
      <c r="O210">
        <v>0.74118983745574951</v>
      </c>
      <c r="P210">
        <v>-1.2538762092590332</v>
      </c>
      <c r="Q210">
        <v>0.1624319851398468</v>
      </c>
      <c r="R210">
        <v>0</v>
      </c>
      <c r="S210">
        <v>1</v>
      </c>
      <c r="T210">
        <f t="shared" si="7"/>
        <v>6.5547576379862263E-2</v>
      </c>
    </row>
    <row r="211" spans="1:20" x14ac:dyDescent="0.3">
      <c r="A211" s="4" t="s">
        <v>16</v>
      </c>
      <c r="B211" s="4">
        <v>9</v>
      </c>
      <c r="C211" s="4">
        <v>2009</v>
      </c>
      <c r="D211" s="4">
        <v>13.9247890307559</v>
      </c>
      <c r="E211">
        <v>12.6609351537224</v>
      </c>
      <c r="F211">
        <v>5.25</v>
      </c>
      <c r="G211">
        <v>6.7724362265190701</v>
      </c>
      <c r="H211">
        <v>-0.54527091979980502</v>
      </c>
      <c r="I211">
        <v>-0.25594148039817799</v>
      </c>
      <c r="J211">
        <v>-4.5140512287616702E-2</v>
      </c>
      <c r="K211">
        <v>0.241446003317833</v>
      </c>
      <c r="L211">
        <v>-0.49437016248702997</v>
      </c>
      <c r="M211">
        <v>0.141477331519127</v>
      </c>
      <c r="N211">
        <v>0.19342292845249176</v>
      </c>
      <c r="O211">
        <v>0.70818448066711426</v>
      </c>
      <c r="P211">
        <v>-1.2538762092590332</v>
      </c>
      <c r="Q211">
        <v>0.1624319851398468</v>
      </c>
      <c r="R211">
        <v>0</v>
      </c>
      <c r="S211">
        <v>1</v>
      </c>
      <c r="T211">
        <f t="shared" si="7"/>
        <v>-1.0378813057183887E-2</v>
      </c>
    </row>
    <row r="212" spans="1:20" x14ac:dyDescent="0.3">
      <c r="A212" s="4" t="s">
        <v>16</v>
      </c>
      <c r="B212" s="4">
        <v>9</v>
      </c>
      <c r="C212" s="4">
        <v>2010</v>
      </c>
      <c r="D212" s="4">
        <v>13.1267801276088</v>
      </c>
      <c r="E212">
        <v>12.822329885356099</v>
      </c>
      <c r="F212">
        <v>5</v>
      </c>
      <c r="G212">
        <v>6.4175433728169704</v>
      </c>
      <c r="H212">
        <v>-0.53161650896072399</v>
      </c>
      <c r="I212">
        <v>-0.27945321798324602</v>
      </c>
      <c r="J212">
        <v>-0.19148290157318101</v>
      </c>
      <c r="K212">
        <v>0.233281955122948</v>
      </c>
      <c r="L212">
        <v>-0.38576048612594599</v>
      </c>
      <c r="M212">
        <v>0.123838223516941</v>
      </c>
      <c r="N212">
        <v>0.18867936730384827</v>
      </c>
      <c r="O212">
        <v>0.59129142761230469</v>
      </c>
      <c r="P212">
        <v>-0.17476625740528107</v>
      </c>
      <c r="Q212">
        <v>0.4181329607963562</v>
      </c>
      <c r="R212">
        <v>0</v>
      </c>
      <c r="S212">
        <v>1</v>
      </c>
      <c r="T212">
        <f t="shared" si="7"/>
        <v>-5.730850940610481E-2</v>
      </c>
    </row>
    <row r="213" spans="1:20" x14ac:dyDescent="0.3">
      <c r="A213" s="4" t="s">
        <v>16</v>
      </c>
      <c r="B213" s="4">
        <v>9</v>
      </c>
      <c r="C213" s="4">
        <v>2011</v>
      </c>
      <c r="D213" s="4">
        <v>11.963216583924</v>
      </c>
      <c r="E213">
        <v>12.432098598767899</v>
      </c>
      <c r="F213">
        <v>4.75</v>
      </c>
      <c r="G213">
        <v>5.8617526422515001</v>
      </c>
      <c r="H213">
        <v>-0.70179414749145497</v>
      </c>
      <c r="I213">
        <v>-0.20217707753181499</v>
      </c>
      <c r="J213">
        <v>-0.28237941861152599</v>
      </c>
      <c r="K213">
        <v>0.28397256135940602</v>
      </c>
      <c r="L213">
        <v>-0.442926466464996</v>
      </c>
      <c r="M213">
        <v>6.2333762645721401E-2</v>
      </c>
      <c r="N213">
        <v>0.24649418890476227</v>
      </c>
      <c r="O213">
        <v>0.63740324974060059</v>
      </c>
      <c r="P213">
        <v>-0.17476625740528107</v>
      </c>
      <c r="Q213">
        <v>0.4181329607963562</v>
      </c>
      <c r="R213">
        <v>0</v>
      </c>
      <c r="S213">
        <v>1</v>
      </c>
      <c r="T213">
        <f t="shared" si="7"/>
        <v>-8.86404382775898E-2</v>
      </c>
    </row>
    <row r="214" spans="1:20" x14ac:dyDescent="0.3">
      <c r="A214" s="4" t="s">
        <v>16</v>
      </c>
      <c r="B214" s="4">
        <v>9</v>
      </c>
      <c r="C214" s="4">
        <v>2012</v>
      </c>
      <c r="D214" s="4">
        <v>11.5932923255515</v>
      </c>
      <c r="E214">
        <v>10.8803465425902</v>
      </c>
      <c r="F214">
        <v>4</v>
      </c>
      <c r="G214">
        <v>5.42490848079035</v>
      </c>
      <c r="H214">
        <v>-0.77872943878173795</v>
      </c>
      <c r="I214">
        <v>-0.26892501115799</v>
      </c>
      <c r="J214">
        <v>-0.143631592392921</v>
      </c>
      <c r="K214">
        <v>0.24049198627471899</v>
      </c>
      <c r="L214">
        <v>-0.51983976364135698</v>
      </c>
      <c r="M214">
        <v>2.2064037621021299E-2</v>
      </c>
      <c r="N214">
        <v>0.31552392244338989</v>
      </c>
      <c r="O214">
        <v>0.39310035109519958</v>
      </c>
      <c r="P214">
        <v>-0.17476625740528107</v>
      </c>
      <c r="Q214">
        <v>0.4181329607963562</v>
      </c>
      <c r="R214">
        <v>0</v>
      </c>
      <c r="S214">
        <v>1</v>
      </c>
      <c r="T214">
        <f t="shared" si="7"/>
        <v>-3.0921805668017287E-2</v>
      </c>
    </row>
    <row r="215" spans="1:20" x14ac:dyDescent="0.3">
      <c r="A215" s="4" t="s">
        <v>16</v>
      </c>
      <c r="B215" s="4">
        <v>9</v>
      </c>
      <c r="C215" s="4">
        <v>2013</v>
      </c>
      <c r="D215" s="4">
        <v>10.016797120489199</v>
      </c>
      <c r="E215">
        <v>9.8266043443155002</v>
      </c>
      <c r="F215">
        <v>3</v>
      </c>
      <c r="G215">
        <v>4.1642049402528096</v>
      </c>
      <c r="H215">
        <v>-0.75137269496917702</v>
      </c>
      <c r="I215">
        <v>-0.324457377195358</v>
      </c>
      <c r="J215">
        <v>9.1929785907268496E-2</v>
      </c>
      <c r="K215">
        <v>0.25416025519370999</v>
      </c>
      <c r="L215">
        <v>-0.51882886886596702</v>
      </c>
      <c r="M215">
        <v>4.8864442855119698E-2</v>
      </c>
      <c r="N215">
        <v>0.34926432371139526</v>
      </c>
      <c r="O215">
        <v>0.58261138200759888</v>
      </c>
      <c r="P215">
        <v>-0.17476625740528107</v>
      </c>
      <c r="Q215">
        <v>0.4181329607963562</v>
      </c>
      <c r="R215">
        <v>0</v>
      </c>
      <c r="S215">
        <v>1</v>
      </c>
      <c r="T215">
        <f t="shared" si="7"/>
        <v>-0.1359833911534967</v>
      </c>
    </row>
    <row r="216" spans="1:20" x14ac:dyDescent="0.3">
      <c r="A216" s="4" t="s">
        <v>16</v>
      </c>
      <c r="B216" s="4">
        <v>9</v>
      </c>
      <c r="C216" s="4">
        <v>2014</v>
      </c>
      <c r="D216" s="4">
        <v>10.687221560271199</v>
      </c>
      <c r="E216">
        <v>7.9725000000000001</v>
      </c>
      <c r="F216">
        <v>2.25</v>
      </c>
      <c r="G216">
        <v>1.9141666666666599</v>
      </c>
      <c r="H216">
        <v>-0.58657181262970004</v>
      </c>
      <c r="I216">
        <v>-4.9770809710025801E-2</v>
      </c>
      <c r="J216">
        <v>0.48598623275756803</v>
      </c>
      <c r="K216">
        <v>0.27903768420219399</v>
      </c>
      <c r="L216">
        <v>-0.31119909882545499</v>
      </c>
      <c r="M216">
        <v>0.14368978142738301</v>
      </c>
      <c r="N216">
        <v>0.3709869384765625</v>
      </c>
      <c r="O216">
        <v>0.57072281837463379</v>
      </c>
      <c r="P216">
        <v>-0.17476625740528107</v>
      </c>
      <c r="Q216">
        <v>0.4181329607963562</v>
      </c>
      <c r="R216">
        <v>0</v>
      </c>
      <c r="S216">
        <v>1</v>
      </c>
      <c r="T216">
        <f t="shared" si="7"/>
        <v>6.6930020815801225E-2</v>
      </c>
    </row>
    <row r="217" spans="1:20" x14ac:dyDescent="0.3">
      <c r="A217" s="4" t="s">
        <v>16</v>
      </c>
      <c r="B217" s="4">
        <v>9</v>
      </c>
      <c r="C217" s="4">
        <v>2015</v>
      </c>
      <c r="D217" s="4">
        <v>11.254090414410401</v>
      </c>
      <c r="E217">
        <v>7.8775000000000004</v>
      </c>
      <c r="F217">
        <v>1.75</v>
      </c>
      <c r="G217">
        <v>1.39333333333333</v>
      </c>
      <c r="H217">
        <v>-0.54514080286026001</v>
      </c>
      <c r="I217">
        <v>2.75752544403076E-2</v>
      </c>
      <c r="J217">
        <v>0.34163904190063499</v>
      </c>
      <c r="K217">
        <v>0.174237310886383</v>
      </c>
      <c r="L217">
        <v>-0.31968680024147</v>
      </c>
      <c r="M217">
        <v>0.15713526308536499</v>
      </c>
      <c r="N217">
        <v>0.23266202211380005</v>
      </c>
      <c r="O217">
        <v>0.76727300882339478</v>
      </c>
      <c r="P217">
        <v>-0.17476625740528107</v>
      </c>
      <c r="Q217">
        <v>0.4181329607963562</v>
      </c>
      <c r="R217">
        <v>0</v>
      </c>
      <c r="S217">
        <v>1</v>
      </c>
      <c r="T217">
        <f t="shared" si="7"/>
        <v>5.3041742509249208E-2</v>
      </c>
    </row>
    <row r="218" spans="1:20" x14ac:dyDescent="0.3">
      <c r="A218" s="4" t="s">
        <v>16</v>
      </c>
      <c r="B218" s="4">
        <v>9</v>
      </c>
      <c r="C218" s="4">
        <v>2016</v>
      </c>
      <c r="D218" s="4">
        <v>10.893696292584499</v>
      </c>
      <c r="E218">
        <v>6.7341666666666598</v>
      </c>
      <c r="F218">
        <v>1.25</v>
      </c>
      <c r="G218">
        <v>0.83083333333333298</v>
      </c>
      <c r="H218">
        <v>-0.47237372398376498</v>
      </c>
      <c r="I218">
        <v>2.9082361608743699E-2</v>
      </c>
      <c r="J218">
        <v>0.33744788169860801</v>
      </c>
      <c r="K218">
        <v>0.18660762906074499</v>
      </c>
      <c r="L218">
        <v>-0.32263198494911199</v>
      </c>
      <c r="M218">
        <v>0.171097502112389</v>
      </c>
      <c r="N218">
        <v>0.38939255475997925</v>
      </c>
      <c r="O218">
        <v>0.62076777219772339</v>
      </c>
      <c r="P218">
        <v>-0.17476625740528107</v>
      </c>
      <c r="Q218">
        <v>0.4181329607963562</v>
      </c>
      <c r="R218">
        <v>0</v>
      </c>
      <c r="S218">
        <v>1</v>
      </c>
      <c r="T218">
        <f t="shared" si="7"/>
        <v>-3.202338959036901E-2</v>
      </c>
    </row>
    <row r="219" spans="1:20" x14ac:dyDescent="0.3">
      <c r="A219" s="4" t="s">
        <v>16</v>
      </c>
      <c r="B219" s="4">
        <v>9</v>
      </c>
      <c r="C219" s="4">
        <v>2017</v>
      </c>
      <c r="D219" s="4">
        <v>9.8943722440792392</v>
      </c>
      <c r="E219">
        <v>6.22</v>
      </c>
      <c r="F219">
        <v>1.25</v>
      </c>
      <c r="G219">
        <v>0.76666666666666605</v>
      </c>
      <c r="H219">
        <v>-0.48138684034347501</v>
      </c>
      <c r="I219">
        <v>9.8552845418453203E-2</v>
      </c>
      <c r="J219">
        <v>0.37377074360847501</v>
      </c>
      <c r="K219">
        <v>0.22061032056808499</v>
      </c>
      <c r="L219">
        <v>-0.414191573858261</v>
      </c>
      <c r="M219">
        <v>0.203885167837143</v>
      </c>
      <c r="N219">
        <v>0.39593231678009033</v>
      </c>
      <c r="O219">
        <v>0.61078596115112305</v>
      </c>
      <c r="P219">
        <v>-0.17476625740528107</v>
      </c>
      <c r="Q219">
        <v>0.4181329607963562</v>
      </c>
      <c r="R219">
        <v>0</v>
      </c>
      <c r="S219">
        <v>1</v>
      </c>
      <c r="T219">
        <f t="shared" si="7"/>
        <v>-9.1734157228663946E-2</v>
      </c>
    </row>
    <row r="220" spans="1:20" x14ac:dyDescent="0.3">
      <c r="A220" s="4" t="s">
        <v>16</v>
      </c>
      <c r="B220" s="4">
        <v>9</v>
      </c>
      <c r="C220" s="4">
        <v>2018</v>
      </c>
      <c r="D220" s="4">
        <v>9.4815128324467501</v>
      </c>
      <c r="E220">
        <v>5.9325000000000001</v>
      </c>
      <c r="F220">
        <v>1</v>
      </c>
      <c r="G220">
        <v>0.75166666666666604</v>
      </c>
      <c r="H220">
        <v>-0.54601889848709095</v>
      </c>
      <c r="I220">
        <v>8.0524533987045302E-2</v>
      </c>
      <c r="J220">
        <v>0.36677926778793302</v>
      </c>
      <c r="K220">
        <v>0.256079822778702</v>
      </c>
      <c r="L220">
        <v>-0.414752036333084</v>
      </c>
      <c r="M220">
        <v>0.188786596059799</v>
      </c>
      <c r="N220">
        <v>0.39376994967460632</v>
      </c>
      <c r="O220">
        <v>0.50384873151779175</v>
      </c>
      <c r="P220">
        <v>-0.17476625740528107</v>
      </c>
      <c r="Q220">
        <v>0.4181329607963562</v>
      </c>
      <c r="R220">
        <v>0</v>
      </c>
      <c r="S220">
        <v>1</v>
      </c>
      <c r="T220">
        <f t="shared" si="7"/>
        <v>-4.1726690834736166E-2</v>
      </c>
    </row>
    <row r="221" spans="1:20" x14ac:dyDescent="0.3">
      <c r="A221" s="4" t="s">
        <v>16</v>
      </c>
      <c r="B221" s="4">
        <v>9</v>
      </c>
      <c r="C221" s="4">
        <v>2019</v>
      </c>
      <c r="D221" s="4">
        <v>9.4501231565374493</v>
      </c>
      <c r="E221">
        <v>6.2758333333333303</v>
      </c>
      <c r="F221">
        <v>1</v>
      </c>
      <c r="G221">
        <v>0.49249999999999999</v>
      </c>
      <c r="H221">
        <v>-0.56427407264709495</v>
      </c>
      <c r="I221">
        <v>-6.23007006943226E-2</v>
      </c>
      <c r="J221">
        <v>0.11010505259037</v>
      </c>
      <c r="K221">
        <v>0.27206546068191501</v>
      </c>
      <c r="L221">
        <v>-0.42631736397743197</v>
      </c>
      <c r="M221">
        <v>0.14196528494358099</v>
      </c>
      <c r="N221">
        <v>0.40583398938179016</v>
      </c>
      <c r="O221">
        <v>0.50793188810348511</v>
      </c>
      <c r="P221">
        <v>-0.17476625740528107</v>
      </c>
      <c r="Q221">
        <v>0.4181329607963562</v>
      </c>
      <c r="R221">
        <v>0</v>
      </c>
      <c r="S221">
        <v>1</v>
      </c>
      <c r="T221">
        <f t="shared" si="7"/>
        <v>-3.3106189343415785E-3</v>
      </c>
    </row>
    <row r="222" spans="1:20" x14ac:dyDescent="0.3">
      <c r="A222" s="4" t="s">
        <v>16</v>
      </c>
      <c r="B222" s="4">
        <v>9</v>
      </c>
      <c r="C222" s="4">
        <v>2020</v>
      </c>
      <c r="D222" s="4">
        <v>9.6184180074696197</v>
      </c>
      <c r="E222">
        <v>6.12083333333333</v>
      </c>
      <c r="F222">
        <v>0.5</v>
      </c>
      <c r="G222">
        <v>0.41499999999999998</v>
      </c>
      <c r="H222">
        <v>-0.57353878021240201</v>
      </c>
      <c r="I222">
        <v>-0.15512122213840501</v>
      </c>
      <c r="J222">
        <v>8.8612519204616505E-2</v>
      </c>
      <c r="K222">
        <v>0.22196723520755801</v>
      </c>
      <c r="L222">
        <v>-0.378028213977814</v>
      </c>
      <c r="M222">
        <v>8.6325444281101199E-2</v>
      </c>
      <c r="N222">
        <v>0.2442747950553894</v>
      </c>
      <c r="O222">
        <v>0.42015713453292847</v>
      </c>
      <c r="P222">
        <v>-1.2538762092590332</v>
      </c>
      <c r="Q222">
        <v>0.1624319851398468</v>
      </c>
      <c r="R222">
        <v>0</v>
      </c>
      <c r="S222">
        <v>1</v>
      </c>
      <c r="T222">
        <f t="shared" si="7"/>
        <v>1.7808746843235228E-2</v>
      </c>
    </row>
    <row r="223" spans="1:20" x14ac:dyDescent="0.3">
      <c r="A223" s="4" t="s">
        <v>16</v>
      </c>
      <c r="B223" s="4">
        <v>9</v>
      </c>
      <c r="C223" s="4">
        <v>2021</v>
      </c>
      <c r="D223" s="4">
        <v>9.5294859802489693</v>
      </c>
      <c r="E223">
        <v>6.0216666666666603</v>
      </c>
      <c r="F223">
        <v>0.5</v>
      </c>
      <c r="G223">
        <v>0.478333333333333</v>
      </c>
      <c r="H223">
        <v>-0.57717996835708596</v>
      </c>
      <c r="I223">
        <v>-3.5985022783279398E-2</v>
      </c>
      <c r="J223">
        <v>0.19637192785739899</v>
      </c>
      <c r="K223">
        <v>0.17585939168930101</v>
      </c>
      <c r="L223">
        <v>-0.28071627020835899</v>
      </c>
      <c r="M223">
        <v>8.5588961839675903E-2</v>
      </c>
      <c r="N223">
        <v>0.36584072113037108</v>
      </c>
      <c r="O223">
        <v>0.53269829750061037</v>
      </c>
      <c r="P223">
        <v>-0.17476625740528107</v>
      </c>
      <c r="Q223">
        <v>0.4181329607963562</v>
      </c>
      <c r="R223">
        <v>0</v>
      </c>
      <c r="S223">
        <v>1</v>
      </c>
      <c r="T223">
        <f t="shared" si="7"/>
        <v>-9.2460139652473204E-3</v>
      </c>
    </row>
    <row r="224" spans="1:20" x14ac:dyDescent="0.3">
      <c r="A224" s="4" t="s">
        <v>16</v>
      </c>
      <c r="B224" s="4">
        <v>9</v>
      </c>
      <c r="C224" s="4">
        <v>2022</v>
      </c>
      <c r="D224" s="4">
        <v>9.1771702523111305</v>
      </c>
      <c r="E224">
        <v>6.5066666666666597</v>
      </c>
      <c r="F224">
        <v>2.75</v>
      </c>
      <c r="G224">
        <v>0.730833333333333</v>
      </c>
      <c r="H224">
        <v>-0.40818944573402399</v>
      </c>
      <c r="I224">
        <v>6.4540535211563096E-2</v>
      </c>
      <c r="J224">
        <v>0.10626131296157799</v>
      </c>
      <c r="K224">
        <v>0.159353822469711</v>
      </c>
      <c r="L224">
        <v>-0.16558510065078699</v>
      </c>
      <c r="M224">
        <v>0.141740188002586</v>
      </c>
      <c r="N224">
        <v>0.36113035440444946</v>
      </c>
      <c r="O224">
        <v>0.5150844025611877</v>
      </c>
      <c r="P224">
        <v>-0.17476625740528107</v>
      </c>
      <c r="Q224">
        <v>0.4181329607963562</v>
      </c>
      <c r="R224">
        <v>0</v>
      </c>
      <c r="S224">
        <v>1</v>
      </c>
      <c r="T224">
        <f t="shared" si="7"/>
        <v>-3.6971115616105263E-2</v>
      </c>
    </row>
    <row r="225" spans="1:20" x14ac:dyDescent="0.3">
      <c r="A225" s="4" t="s">
        <v>16</v>
      </c>
      <c r="B225" s="4">
        <v>9</v>
      </c>
      <c r="C225" s="4">
        <v>2023</v>
      </c>
      <c r="D225" s="4">
        <v>8.6677801890603892</v>
      </c>
      <c r="E225">
        <v>6.3516666666666604</v>
      </c>
      <c r="F225">
        <v>3.25</v>
      </c>
      <c r="G225">
        <v>1.3474999999999999</v>
      </c>
      <c r="H225">
        <v>-0.332218527793884</v>
      </c>
      <c r="I225">
        <v>0.25085535645484902</v>
      </c>
      <c r="J225">
        <v>0.183348968625069</v>
      </c>
      <c r="K225">
        <v>0.17195366322994199</v>
      </c>
      <c r="L225">
        <v>-0.16409736871719399</v>
      </c>
      <c r="M225">
        <v>0.168997228145599</v>
      </c>
      <c r="N225">
        <v>0.35416996192932132</v>
      </c>
      <c r="O225">
        <v>0.49594409084320068</v>
      </c>
      <c r="P225">
        <v>-0.17476625740528107</v>
      </c>
      <c r="Q225">
        <v>0.4181329607963562</v>
      </c>
      <c r="R225">
        <v>0</v>
      </c>
      <c r="S225">
        <v>1</v>
      </c>
      <c r="T225">
        <f t="shared" si="7"/>
        <v>-5.5506223513992148E-2</v>
      </c>
    </row>
    <row r="226" spans="1:20" x14ac:dyDescent="0.3">
      <c r="A226" s="4" t="s">
        <v>16</v>
      </c>
      <c r="B226" s="4">
        <v>9</v>
      </c>
      <c r="C226" s="4">
        <v>2024</v>
      </c>
      <c r="D226" s="4">
        <v>8.4093932276693906</v>
      </c>
      <c r="E226">
        <v>6.4433333333333298</v>
      </c>
      <c r="F226">
        <v>2.75</v>
      </c>
      <c r="G226">
        <v>1.8641666666666601</v>
      </c>
      <c r="H226">
        <v>-0.49108015894889812</v>
      </c>
      <c r="I226">
        <v>1.2397789210081023E-2</v>
      </c>
      <c r="J226">
        <v>0.1369399562478065</v>
      </c>
      <c r="K226">
        <v>0.20023991465568541</v>
      </c>
      <c r="L226">
        <v>-0.28294886350631721</v>
      </c>
      <c r="M226">
        <v>0.12492342144250863</v>
      </c>
      <c r="N226">
        <v>0.34624996438026429</v>
      </c>
      <c r="O226">
        <v>0.49436316270828246</v>
      </c>
      <c r="P226">
        <v>-0.17476625740528107</v>
      </c>
      <c r="Q226">
        <v>0.4181329607963562</v>
      </c>
      <c r="R226">
        <v>0</v>
      </c>
      <c r="S226">
        <v>1</v>
      </c>
      <c r="T226">
        <f t="shared" si="7"/>
        <v>-2.9810050065310716E-2</v>
      </c>
    </row>
    <row r="227" spans="1:20" x14ac:dyDescent="0.3">
      <c r="A227" s="4" t="s">
        <v>15</v>
      </c>
      <c r="B227" s="4">
        <v>10</v>
      </c>
      <c r="C227" s="4">
        <v>2000</v>
      </c>
      <c r="D227" s="4">
        <v>0.47279777395235001</v>
      </c>
      <c r="E227">
        <v>7.1622500000000002</v>
      </c>
      <c r="F227">
        <v>5.25</v>
      </c>
      <c r="G227">
        <v>3.4217499999999998</v>
      </c>
      <c r="H227">
        <v>0.146037667989731</v>
      </c>
      <c r="I227">
        <v>0.58745914697647095</v>
      </c>
      <c r="J227">
        <v>0.33273962140083302</v>
      </c>
      <c r="K227">
        <v>0.74366581439971902</v>
      </c>
      <c r="L227">
        <v>0.60711628198623702</v>
      </c>
      <c r="M227">
        <v>0.76277512311935403</v>
      </c>
      <c r="N227">
        <v>0.45659926533699036</v>
      </c>
      <c r="O227">
        <v>0.6754191517829895</v>
      </c>
      <c r="P227" s="6">
        <v>7.7006131410598755E-2</v>
      </c>
      <c r="Q227" s="6">
        <v>0.47779181599617004</v>
      </c>
      <c r="R227">
        <v>0</v>
      </c>
      <c r="S227">
        <v>0</v>
      </c>
    </row>
    <row r="228" spans="1:20" x14ac:dyDescent="0.3">
      <c r="A228" s="4" t="s">
        <v>15</v>
      </c>
      <c r="B228" s="4">
        <v>10</v>
      </c>
      <c r="C228" s="4">
        <v>2001</v>
      </c>
      <c r="D228" s="4">
        <v>0.37639908244168002</v>
      </c>
      <c r="E228">
        <v>7.1964166666666598</v>
      </c>
      <c r="F228">
        <v>4.75</v>
      </c>
      <c r="G228">
        <v>2.87333333333333</v>
      </c>
      <c r="H228">
        <v>0.25204779207706451</v>
      </c>
      <c r="I228">
        <v>0.75472822785377502</v>
      </c>
      <c r="J228">
        <v>0.68842013180255646</v>
      </c>
      <c r="K228">
        <v>0.92814189195632946</v>
      </c>
      <c r="L228">
        <v>0.73347070813179049</v>
      </c>
      <c r="M228">
        <v>0.88958933949470698</v>
      </c>
      <c r="N228">
        <v>0.40321284532546997</v>
      </c>
      <c r="O228">
        <v>0.52744102478027344</v>
      </c>
      <c r="P228" s="6">
        <v>1.5255131721496582</v>
      </c>
      <c r="Q228" s="6">
        <v>0.82102346420288086</v>
      </c>
      <c r="R228">
        <v>0</v>
      </c>
      <c r="S228">
        <v>0</v>
      </c>
      <c r="T228">
        <f>((D228-D227)/D227)</f>
        <v>-0.20388990139447091</v>
      </c>
    </row>
    <row r="229" spans="1:20" x14ac:dyDescent="0.3">
      <c r="A229" s="4" t="s">
        <v>15</v>
      </c>
      <c r="B229" s="4">
        <v>10</v>
      </c>
      <c r="C229" s="4">
        <v>2002</v>
      </c>
      <c r="D229" s="4">
        <v>0.40270330103190899</v>
      </c>
      <c r="E229">
        <v>6.72416666666666</v>
      </c>
      <c r="F229">
        <v>2.75</v>
      </c>
      <c r="G229">
        <v>1.9975000000000001</v>
      </c>
      <c r="H229">
        <v>0.35805791616439803</v>
      </c>
      <c r="I229">
        <v>0.92199730873107899</v>
      </c>
      <c r="J229">
        <v>1.04410064220428</v>
      </c>
      <c r="K229">
        <v>1.1126179695129399</v>
      </c>
      <c r="L229">
        <v>0.85982513427734397</v>
      </c>
      <c r="M229">
        <v>1.0164035558700599</v>
      </c>
      <c r="N229">
        <v>0.29412221908569336</v>
      </c>
      <c r="O229">
        <v>0.40702971816062927</v>
      </c>
      <c r="P229" s="6">
        <v>1.7772855758666992</v>
      </c>
      <c r="Q229" s="6">
        <v>0.88068228960037231</v>
      </c>
      <c r="R229">
        <v>0</v>
      </c>
      <c r="S229">
        <v>0</v>
      </c>
      <c r="T229">
        <f t="shared" ref="T229:T251" si="8">((D229-D228)/D228)</f>
        <v>6.9883854178376198E-2</v>
      </c>
    </row>
    <row r="230" spans="1:20" x14ac:dyDescent="0.3">
      <c r="A230" s="4" t="s">
        <v>15</v>
      </c>
      <c r="B230" s="4">
        <v>10</v>
      </c>
      <c r="C230" s="4">
        <v>2003</v>
      </c>
      <c r="D230" s="4">
        <v>0.49157263988849698</v>
      </c>
      <c r="E230">
        <v>5.9491666666666596</v>
      </c>
      <c r="F230">
        <v>2</v>
      </c>
      <c r="G230">
        <v>1.3333333333333299</v>
      </c>
      <c r="H230">
        <v>0.48998209834098799</v>
      </c>
      <c r="I230">
        <v>0.85417634248733498</v>
      </c>
      <c r="J230">
        <v>0.88705813884735096</v>
      </c>
      <c r="K230">
        <v>1.1368143558502199</v>
      </c>
      <c r="L230">
        <v>0.87370979785919201</v>
      </c>
      <c r="M230">
        <v>1.0141751766204801</v>
      </c>
      <c r="N230">
        <v>0.1917613297700882</v>
      </c>
      <c r="O230">
        <v>0.48932620882987976</v>
      </c>
      <c r="P230" s="6">
        <v>2.0290579795837402</v>
      </c>
      <c r="Q230" s="6">
        <v>0.94034117460250854</v>
      </c>
      <c r="R230">
        <v>0</v>
      </c>
      <c r="S230">
        <v>0</v>
      </c>
      <c r="T230">
        <f t="shared" si="8"/>
        <v>0.22068192296627401</v>
      </c>
    </row>
    <row r="231" spans="1:20" x14ac:dyDescent="0.3">
      <c r="A231" s="4" t="s">
        <v>15</v>
      </c>
      <c r="B231" s="4">
        <v>10</v>
      </c>
      <c r="C231" s="4">
        <v>2004</v>
      </c>
      <c r="D231" s="4">
        <v>1.01700260416116</v>
      </c>
      <c r="E231">
        <v>6.0274999999999999</v>
      </c>
      <c r="F231">
        <v>2.5</v>
      </c>
      <c r="G231">
        <v>1.2833333333333301</v>
      </c>
      <c r="H231">
        <v>0.38449048995971702</v>
      </c>
      <c r="I231">
        <v>0.864507555961609</v>
      </c>
      <c r="J231">
        <v>0.65387582778930697</v>
      </c>
      <c r="K231">
        <v>0.99959099292755105</v>
      </c>
      <c r="L231">
        <v>0.75833076238632202</v>
      </c>
      <c r="M231">
        <v>0.95446127653121904</v>
      </c>
      <c r="N231">
        <v>0.33602392673492432</v>
      </c>
      <c r="O231">
        <v>0.6009705662727356</v>
      </c>
      <c r="P231" s="6">
        <v>2.2808303833007813</v>
      </c>
      <c r="Q231" s="6">
        <v>1</v>
      </c>
      <c r="R231">
        <v>0</v>
      </c>
      <c r="S231">
        <v>0</v>
      </c>
      <c r="T231">
        <f t="shared" si="8"/>
        <v>1.0688755264976624</v>
      </c>
    </row>
    <row r="232" spans="1:20" x14ac:dyDescent="0.3">
      <c r="A232" s="4" t="s">
        <v>15</v>
      </c>
      <c r="B232" s="4">
        <v>10</v>
      </c>
      <c r="C232" s="4">
        <v>2005</v>
      </c>
      <c r="D232" s="4">
        <v>0.97659688738897799</v>
      </c>
      <c r="E232">
        <v>5.7766666666666602</v>
      </c>
      <c r="F232">
        <v>2</v>
      </c>
      <c r="G232">
        <v>1.1741666666666599</v>
      </c>
      <c r="H232">
        <v>0.480226010084152</v>
      </c>
      <c r="I232">
        <v>0.91303074359893799</v>
      </c>
      <c r="J232">
        <v>0.93638408184051503</v>
      </c>
      <c r="K232">
        <v>1.1090284585952801</v>
      </c>
      <c r="L232">
        <v>0.85774105787277199</v>
      </c>
      <c r="M232">
        <v>0.90567255020141602</v>
      </c>
      <c r="N232">
        <v>0.50154566764831543</v>
      </c>
      <c r="O232">
        <v>0.53068602085113525</v>
      </c>
      <c r="P232" s="6">
        <v>2.2808303833007813</v>
      </c>
      <c r="Q232" s="6">
        <v>1</v>
      </c>
      <c r="R232">
        <v>0</v>
      </c>
      <c r="S232">
        <v>0</v>
      </c>
      <c r="T232">
        <f t="shared" si="8"/>
        <v>-3.973019990987068E-2</v>
      </c>
    </row>
    <row r="233" spans="1:20" x14ac:dyDescent="0.3">
      <c r="A233" s="4" t="s">
        <v>15</v>
      </c>
      <c r="B233" s="4">
        <v>10</v>
      </c>
      <c r="C233" s="4">
        <v>2006</v>
      </c>
      <c r="D233" s="4">
        <v>1.0261684964526001</v>
      </c>
      <c r="E233">
        <v>5.5936660216666603</v>
      </c>
      <c r="F233">
        <v>2.5</v>
      </c>
      <c r="G233">
        <v>1.1858657216666599</v>
      </c>
      <c r="H233">
        <v>0.35034677386283902</v>
      </c>
      <c r="I233">
        <v>1.0824993848800699</v>
      </c>
      <c r="J233">
        <v>1.05372881889343</v>
      </c>
      <c r="K233">
        <v>1.1080676317214999</v>
      </c>
      <c r="L233">
        <v>0.862385094165802</v>
      </c>
      <c r="M233">
        <v>0.96229267120361295</v>
      </c>
      <c r="N233">
        <v>0.43934881687164307</v>
      </c>
      <c r="O233">
        <v>0.51019835472106934</v>
      </c>
      <c r="P233" s="6">
        <v>2.2808303833007813</v>
      </c>
      <c r="Q233" s="6">
        <v>1</v>
      </c>
      <c r="R233">
        <v>0</v>
      </c>
      <c r="S233">
        <v>0</v>
      </c>
      <c r="T233">
        <f t="shared" si="8"/>
        <v>5.0759540301379004E-2</v>
      </c>
    </row>
    <row r="234" spans="1:20" x14ac:dyDescent="0.3">
      <c r="A234" s="4" t="s">
        <v>15</v>
      </c>
      <c r="B234" s="4">
        <v>10</v>
      </c>
      <c r="C234" s="4">
        <v>2007</v>
      </c>
      <c r="D234" s="4">
        <v>0.96139737049353802</v>
      </c>
      <c r="E234">
        <v>5.7883795837007801</v>
      </c>
      <c r="F234">
        <v>3.5</v>
      </c>
      <c r="G234">
        <v>1.32368590627748</v>
      </c>
      <c r="H234">
        <v>0.32136908173561102</v>
      </c>
      <c r="I234">
        <v>0.84519183635711703</v>
      </c>
      <c r="J234">
        <v>1.0154139995575</v>
      </c>
      <c r="K234">
        <v>1.0531712770462001</v>
      </c>
      <c r="L234">
        <v>0.87874394655227706</v>
      </c>
      <c r="M234">
        <v>0.99528378248214699</v>
      </c>
      <c r="N234">
        <v>0.35905346274375916</v>
      </c>
      <c r="O234">
        <v>0.44723221659660339</v>
      </c>
      <c r="P234" s="6">
        <v>2.2808303833007813</v>
      </c>
      <c r="Q234" s="6">
        <v>1</v>
      </c>
      <c r="R234">
        <v>0</v>
      </c>
      <c r="S234">
        <v>0</v>
      </c>
      <c r="T234">
        <f t="shared" si="8"/>
        <v>-6.3119386516904186E-2</v>
      </c>
    </row>
    <row r="235" spans="1:20" x14ac:dyDescent="0.3">
      <c r="A235" s="4" t="s">
        <v>15</v>
      </c>
      <c r="B235" s="4">
        <v>10</v>
      </c>
      <c r="C235" s="4">
        <v>2008</v>
      </c>
      <c r="D235" s="4">
        <v>0.479667476759228</v>
      </c>
      <c r="E235">
        <v>6.2517083333333296</v>
      </c>
      <c r="F235">
        <v>2.25</v>
      </c>
      <c r="G235">
        <v>1.6120333333333301</v>
      </c>
      <c r="H235">
        <v>0.34373998641967801</v>
      </c>
      <c r="I235">
        <v>0.951468646526337</v>
      </c>
      <c r="J235">
        <v>1.0498795509338399</v>
      </c>
      <c r="K235">
        <v>1.2224590778350799</v>
      </c>
      <c r="L235">
        <v>0.90023720264434803</v>
      </c>
      <c r="M235">
        <v>1.03275871276855</v>
      </c>
      <c r="N235">
        <v>0.2355833500623703</v>
      </c>
      <c r="O235">
        <v>0.36374244093894958</v>
      </c>
      <c r="P235" s="6">
        <v>2.2808303833007813</v>
      </c>
      <c r="Q235" s="6">
        <v>1</v>
      </c>
      <c r="R235">
        <v>0</v>
      </c>
      <c r="S235">
        <v>0</v>
      </c>
      <c r="T235">
        <f t="shared" si="8"/>
        <v>-0.50107261421675375</v>
      </c>
    </row>
    <row r="236" spans="1:20" x14ac:dyDescent="0.3">
      <c r="A236" s="4" t="s">
        <v>15</v>
      </c>
      <c r="B236" s="4">
        <v>10</v>
      </c>
      <c r="C236" s="4">
        <v>2009</v>
      </c>
      <c r="D236" s="4">
        <v>0.57789260059388103</v>
      </c>
      <c r="E236">
        <v>5.9899583333333304</v>
      </c>
      <c r="F236">
        <v>1</v>
      </c>
      <c r="G236">
        <v>1.26501666666666</v>
      </c>
      <c r="H236">
        <v>0.380892634391785</v>
      </c>
      <c r="I236">
        <v>0.87351185083389304</v>
      </c>
      <c r="J236">
        <v>0.90582937002181996</v>
      </c>
      <c r="K236">
        <v>1.3092801570892301</v>
      </c>
      <c r="L236">
        <v>0.95621782541275002</v>
      </c>
      <c r="M236">
        <v>1.0330442190170299</v>
      </c>
      <c r="N236">
        <v>0.27133020758628845</v>
      </c>
      <c r="O236">
        <v>0.4038831889629364</v>
      </c>
      <c r="P236" s="6">
        <v>2.2808303833007813</v>
      </c>
      <c r="Q236" s="6">
        <v>1</v>
      </c>
      <c r="R236">
        <v>0</v>
      </c>
      <c r="S236">
        <v>0</v>
      </c>
      <c r="T236">
        <f t="shared" si="8"/>
        <v>0.20477753567594439</v>
      </c>
    </row>
    <row r="237" spans="1:20" x14ac:dyDescent="0.3">
      <c r="A237" s="4" t="s">
        <v>15</v>
      </c>
      <c r="B237" s="4">
        <v>10</v>
      </c>
      <c r="C237" s="4">
        <v>2010</v>
      </c>
      <c r="D237" s="4">
        <v>0.58202947313244402</v>
      </c>
      <c r="E237">
        <v>5.8878333333333304</v>
      </c>
      <c r="F237">
        <v>0.75</v>
      </c>
      <c r="G237">
        <v>1.08158333333333</v>
      </c>
      <c r="H237">
        <v>0.38459011912345897</v>
      </c>
      <c r="I237">
        <v>0.90172940492630005</v>
      </c>
      <c r="J237">
        <v>0.98923373222351096</v>
      </c>
      <c r="K237">
        <v>1.29729211330414</v>
      </c>
      <c r="L237">
        <v>0.930919170379639</v>
      </c>
      <c r="M237">
        <v>1.01486504077911</v>
      </c>
      <c r="N237">
        <v>0.41988062858581543</v>
      </c>
      <c r="O237">
        <v>0.47829866409301758</v>
      </c>
      <c r="P237" s="6">
        <v>2.2808303833007813</v>
      </c>
      <c r="Q237" s="6">
        <v>1</v>
      </c>
      <c r="R237">
        <v>0</v>
      </c>
      <c r="S237">
        <v>0</v>
      </c>
      <c r="T237">
        <f t="shared" si="8"/>
        <v>7.1585490700376833E-3</v>
      </c>
    </row>
    <row r="238" spans="1:20" x14ac:dyDescent="0.3">
      <c r="A238" s="4" t="s">
        <v>15</v>
      </c>
      <c r="B238" s="4">
        <v>10</v>
      </c>
      <c r="C238" s="4">
        <v>2011</v>
      </c>
      <c r="D238" s="4">
        <v>0.60247866556274399</v>
      </c>
      <c r="E238">
        <v>5.7178333333333304</v>
      </c>
      <c r="F238">
        <v>0.75</v>
      </c>
      <c r="G238">
        <v>1.0382499999999999</v>
      </c>
      <c r="H238">
        <v>0.38360443711280801</v>
      </c>
      <c r="I238">
        <v>0.92261350154876698</v>
      </c>
      <c r="J238">
        <v>1.1091176271438601</v>
      </c>
      <c r="K238">
        <v>1.1957968473434399</v>
      </c>
      <c r="L238">
        <v>1.0174971818923999</v>
      </c>
      <c r="M238">
        <v>1.0226643085479701</v>
      </c>
      <c r="N238">
        <v>0.37826010584831238</v>
      </c>
      <c r="O238">
        <v>0.47520571947097778</v>
      </c>
      <c r="P238" s="6">
        <v>2.2808303833007813</v>
      </c>
      <c r="Q238" s="6">
        <v>1</v>
      </c>
      <c r="R238">
        <v>0</v>
      </c>
      <c r="S238">
        <v>0</v>
      </c>
      <c r="T238">
        <f t="shared" si="8"/>
        <v>3.513429022802534E-2</v>
      </c>
    </row>
    <row r="239" spans="1:20" x14ac:dyDescent="0.3">
      <c r="A239" s="4" t="s">
        <v>15</v>
      </c>
      <c r="B239" s="4">
        <v>10</v>
      </c>
      <c r="C239" s="4">
        <v>2012</v>
      </c>
      <c r="D239" s="4">
        <v>0.669855745815364</v>
      </c>
      <c r="E239">
        <v>5.4067232372472702</v>
      </c>
      <c r="F239">
        <v>0.05</v>
      </c>
      <c r="G239">
        <v>1.0243026332093299</v>
      </c>
      <c r="H239">
        <v>0.31017965078353898</v>
      </c>
      <c r="I239">
        <v>0.92171859741210904</v>
      </c>
      <c r="J239">
        <v>1.05410611629486</v>
      </c>
      <c r="K239">
        <v>1.05303382873535</v>
      </c>
      <c r="L239">
        <v>1.0226016044616699</v>
      </c>
      <c r="M239">
        <v>0.97037971019744895</v>
      </c>
      <c r="N239">
        <v>0.36463716626167297</v>
      </c>
      <c r="O239">
        <v>0.5121951699256897</v>
      </c>
      <c r="P239" s="6">
        <v>2.2808303833007813</v>
      </c>
      <c r="Q239" s="6">
        <v>1</v>
      </c>
      <c r="R239">
        <v>0</v>
      </c>
      <c r="S239">
        <v>0</v>
      </c>
      <c r="T239">
        <f t="shared" si="8"/>
        <v>0.11183313883768248</v>
      </c>
    </row>
    <row r="240" spans="1:20" x14ac:dyDescent="0.3">
      <c r="A240" s="4" t="s">
        <v>15</v>
      </c>
      <c r="B240" s="4">
        <v>10</v>
      </c>
      <c r="C240" s="4">
        <v>2013</v>
      </c>
      <c r="D240" s="4">
        <v>0.81581483557898904</v>
      </c>
      <c r="E240">
        <v>4.9698930137389103</v>
      </c>
      <c r="F240">
        <v>0.05</v>
      </c>
      <c r="G240">
        <v>0.86154817278114704</v>
      </c>
      <c r="H240">
        <v>0.29911181330680803</v>
      </c>
      <c r="I240">
        <v>0.91580927371978804</v>
      </c>
      <c r="J240">
        <v>1.08477854728699</v>
      </c>
      <c r="K240">
        <v>1.07856404781342</v>
      </c>
      <c r="L240">
        <v>1.02387058734894</v>
      </c>
      <c r="M240">
        <v>0.98448371887206998</v>
      </c>
      <c r="N240">
        <v>0.32510167360305786</v>
      </c>
      <c r="O240">
        <v>0.33714473247528076</v>
      </c>
      <c r="P240" s="6">
        <v>2.2808303833007813</v>
      </c>
      <c r="Q240" s="6">
        <v>1</v>
      </c>
      <c r="R240">
        <v>0</v>
      </c>
      <c r="S240">
        <v>0</v>
      </c>
      <c r="T240">
        <f t="shared" si="8"/>
        <v>0.21789630181638622</v>
      </c>
    </row>
    <row r="241" spans="1:20" x14ac:dyDescent="0.3">
      <c r="A241" s="4" t="s">
        <v>15</v>
      </c>
      <c r="B241" s="4">
        <v>10</v>
      </c>
      <c r="C241" s="4">
        <v>2014</v>
      </c>
      <c r="D241" s="4">
        <v>1.24614561864796</v>
      </c>
      <c r="E241">
        <v>4.6449054644399999</v>
      </c>
      <c r="F241">
        <v>0.05</v>
      </c>
      <c r="G241">
        <v>0.70149989808076596</v>
      </c>
      <c r="H241">
        <v>0.42975661158561701</v>
      </c>
      <c r="I241">
        <v>1.03113341331482</v>
      </c>
      <c r="J241">
        <v>0.98999047279357899</v>
      </c>
      <c r="K241">
        <v>1.00139343738556</v>
      </c>
      <c r="L241">
        <v>1.13887214660645</v>
      </c>
      <c r="M241">
        <v>1.0266318321228001</v>
      </c>
      <c r="N241">
        <v>0.70690655708312988</v>
      </c>
      <c r="O241">
        <v>0.34947416186332703</v>
      </c>
      <c r="P241" s="6">
        <v>2.2808303833007813</v>
      </c>
      <c r="Q241" s="6">
        <v>1</v>
      </c>
      <c r="R241">
        <v>0</v>
      </c>
      <c r="S241">
        <v>0</v>
      </c>
      <c r="T241">
        <f t="shared" si="8"/>
        <v>0.52748585132502823</v>
      </c>
    </row>
    <row r="242" spans="1:20" x14ac:dyDescent="0.3">
      <c r="A242" s="4" t="s">
        <v>15</v>
      </c>
      <c r="B242" s="4">
        <v>10</v>
      </c>
      <c r="C242" s="4">
        <v>2015</v>
      </c>
      <c r="D242" s="4">
        <v>1.41444696310817</v>
      </c>
      <c r="E242">
        <v>4.2825333292393699</v>
      </c>
      <c r="F242">
        <v>0.05</v>
      </c>
      <c r="G242">
        <v>0.52933284578412898</v>
      </c>
      <c r="H242">
        <v>0.46791335940361001</v>
      </c>
      <c r="I242">
        <v>1.02559614181519</v>
      </c>
      <c r="J242">
        <v>0.97025108337402299</v>
      </c>
      <c r="K242">
        <v>1.0839152336120601</v>
      </c>
      <c r="L242">
        <v>1.1070873737335201</v>
      </c>
      <c r="M242">
        <v>1.04274165630341</v>
      </c>
      <c r="N242">
        <v>0.57954275608062744</v>
      </c>
      <c r="O242">
        <v>0.25821951031684875</v>
      </c>
      <c r="P242" s="6">
        <v>2.2808303833007813</v>
      </c>
      <c r="Q242" s="6">
        <v>1</v>
      </c>
      <c r="R242">
        <v>0</v>
      </c>
      <c r="S242">
        <v>0</v>
      </c>
      <c r="T242">
        <f t="shared" si="8"/>
        <v>0.13505752613632194</v>
      </c>
    </row>
    <row r="243" spans="1:20" x14ac:dyDescent="0.3">
      <c r="A243" s="4" t="s">
        <v>15</v>
      </c>
      <c r="B243" s="4">
        <v>10</v>
      </c>
      <c r="C243" s="4">
        <v>2016</v>
      </c>
      <c r="D243" s="4">
        <v>1.57770371324898</v>
      </c>
      <c r="E243">
        <v>3.9072462757748001</v>
      </c>
      <c r="F243">
        <v>0.05</v>
      </c>
      <c r="G243">
        <v>0.37311333662367302</v>
      </c>
      <c r="H243">
        <v>0.55594551563262895</v>
      </c>
      <c r="I243">
        <v>1.0081157684326201</v>
      </c>
      <c r="J243">
        <v>0.96338421106338501</v>
      </c>
      <c r="K243">
        <v>0.97371929883956898</v>
      </c>
      <c r="L243">
        <v>0.98832696676254295</v>
      </c>
      <c r="M243">
        <v>1.0252814292907699</v>
      </c>
      <c r="N243">
        <v>0.57819145917892456</v>
      </c>
      <c r="O243">
        <v>0.30982586741447449</v>
      </c>
      <c r="P243" s="6">
        <v>2.2808303833007813</v>
      </c>
      <c r="Q243" s="6">
        <v>1</v>
      </c>
      <c r="R243">
        <v>0</v>
      </c>
      <c r="S243">
        <v>0</v>
      </c>
      <c r="T243">
        <f t="shared" si="8"/>
        <v>0.11542090612012923</v>
      </c>
    </row>
    <row r="244" spans="1:20" x14ac:dyDescent="0.3">
      <c r="A244" s="4" t="s">
        <v>15</v>
      </c>
      <c r="B244" s="4">
        <v>10</v>
      </c>
      <c r="C244" s="4">
        <v>2017</v>
      </c>
      <c r="D244" s="4">
        <v>1.6181437069248801</v>
      </c>
      <c r="E244">
        <v>3.5897436432377798</v>
      </c>
      <c r="F244">
        <v>0.5</v>
      </c>
      <c r="G244">
        <v>0.27512459857657701</v>
      </c>
      <c r="H244">
        <v>0.56814134120941195</v>
      </c>
      <c r="I244">
        <v>1.03059422969818</v>
      </c>
      <c r="J244">
        <v>0.99065077304840099</v>
      </c>
      <c r="K244">
        <v>1.22255635261536</v>
      </c>
      <c r="L244">
        <v>1.08858931064606</v>
      </c>
      <c r="M244">
        <v>0.88014703989028897</v>
      </c>
      <c r="N244">
        <v>0.6287224292755127</v>
      </c>
      <c r="O244">
        <v>0.38730630278587341</v>
      </c>
      <c r="P244" s="6">
        <v>2.2808303833007813</v>
      </c>
      <c r="Q244" s="6">
        <v>1</v>
      </c>
      <c r="R244">
        <v>0</v>
      </c>
      <c r="S244">
        <v>0</v>
      </c>
      <c r="T244">
        <f t="shared" si="8"/>
        <v>2.5632185141164221E-2</v>
      </c>
    </row>
    <row r="245" spans="1:20" x14ac:dyDescent="0.3">
      <c r="A245" s="4" t="s">
        <v>15</v>
      </c>
      <c r="B245" s="4">
        <v>10</v>
      </c>
      <c r="C245" s="4">
        <v>2018</v>
      </c>
      <c r="D245" s="4">
        <v>1.57667991917671</v>
      </c>
      <c r="E245">
        <v>3.5416158774108002</v>
      </c>
      <c r="F245">
        <v>1.75</v>
      </c>
      <c r="G245">
        <v>0.275896366580548</v>
      </c>
      <c r="H245">
        <v>0.50972849130630504</v>
      </c>
      <c r="I245">
        <v>0.95115417242050204</v>
      </c>
      <c r="J245">
        <v>1.0264128446578999</v>
      </c>
      <c r="K245">
        <v>1.2673079967498799</v>
      </c>
      <c r="L245">
        <v>1.0198062658309901</v>
      </c>
      <c r="M245">
        <v>0.82235413789749101</v>
      </c>
      <c r="N245">
        <v>0.48279038071632385</v>
      </c>
      <c r="O245">
        <v>0.42508935928344727</v>
      </c>
      <c r="P245" s="6">
        <v>2.2808303833007813</v>
      </c>
      <c r="Q245" s="6">
        <v>1</v>
      </c>
      <c r="R245">
        <v>0</v>
      </c>
      <c r="S245">
        <v>0</v>
      </c>
      <c r="T245">
        <f t="shared" si="8"/>
        <v>-2.562429255864291E-2</v>
      </c>
    </row>
    <row r="246" spans="1:20" x14ac:dyDescent="0.3">
      <c r="A246" s="4" t="s">
        <v>15</v>
      </c>
      <c r="B246" s="4">
        <v>10</v>
      </c>
      <c r="C246" s="4">
        <v>2019</v>
      </c>
      <c r="D246" s="4">
        <v>1.5031246635292199</v>
      </c>
      <c r="E246">
        <v>3.6860321834969101</v>
      </c>
      <c r="F246">
        <v>2</v>
      </c>
      <c r="G246">
        <v>0.38855780932238498</v>
      </c>
      <c r="H246">
        <v>0.53348594903945901</v>
      </c>
      <c r="I246">
        <v>0.91964274644851696</v>
      </c>
      <c r="J246">
        <v>0.94199568033218395</v>
      </c>
      <c r="K246">
        <v>1.23532867431641</v>
      </c>
      <c r="L246">
        <v>1.0170935392379801</v>
      </c>
      <c r="M246">
        <v>0.83415251970291104</v>
      </c>
      <c r="N246">
        <v>0.53488880395889282</v>
      </c>
      <c r="O246">
        <v>0.41039425134658813</v>
      </c>
      <c r="P246" s="6">
        <v>2.2808303833007813</v>
      </c>
      <c r="Q246" s="6">
        <v>1</v>
      </c>
      <c r="R246">
        <v>0</v>
      </c>
      <c r="S246">
        <v>0</v>
      </c>
      <c r="T246">
        <f t="shared" si="8"/>
        <v>-4.6651989888916848E-2</v>
      </c>
    </row>
    <row r="247" spans="1:20" x14ac:dyDescent="0.3">
      <c r="A247" s="4" t="s">
        <v>15</v>
      </c>
      <c r="B247" s="4">
        <v>10</v>
      </c>
      <c r="C247" s="4">
        <v>2020</v>
      </c>
      <c r="D247" s="4">
        <v>1.6669237966316199</v>
      </c>
      <c r="E247">
        <v>3.3443070429242701</v>
      </c>
      <c r="F247">
        <v>0.25</v>
      </c>
      <c r="G247">
        <v>0.30355818440076499</v>
      </c>
      <c r="H247">
        <v>0.55544102191925004</v>
      </c>
      <c r="I247">
        <v>0.91096490621566795</v>
      </c>
      <c r="J247">
        <v>0.91232800483703602</v>
      </c>
      <c r="K247">
        <v>1.23466849327087</v>
      </c>
      <c r="L247">
        <v>1.0184506177902199</v>
      </c>
      <c r="M247">
        <v>0.97855496406555198</v>
      </c>
      <c r="N247">
        <v>0.25029617547988892</v>
      </c>
      <c r="O247">
        <v>0.45803433656692505</v>
      </c>
      <c r="P247" s="6">
        <v>2.2808303833007813</v>
      </c>
      <c r="Q247" s="6">
        <v>1</v>
      </c>
      <c r="R247">
        <v>0</v>
      </c>
      <c r="S247">
        <v>0</v>
      </c>
      <c r="T247">
        <f t="shared" si="8"/>
        <v>0.10897242063596534</v>
      </c>
    </row>
    <row r="248" spans="1:20" x14ac:dyDescent="0.3">
      <c r="A248" s="4" t="s">
        <v>15</v>
      </c>
      <c r="B248" s="4">
        <v>10</v>
      </c>
      <c r="C248" s="4">
        <v>2021</v>
      </c>
      <c r="D248" s="4">
        <v>1.5076553829427</v>
      </c>
      <c r="E248">
        <v>3.2021253333996098</v>
      </c>
      <c r="F248">
        <v>3.75</v>
      </c>
      <c r="G248">
        <v>0.23340166565842399</v>
      </c>
      <c r="H248">
        <v>0.61527067422866799</v>
      </c>
      <c r="I248">
        <v>1.06974017620087</v>
      </c>
      <c r="J248">
        <v>0.94753783941268899</v>
      </c>
      <c r="K248">
        <v>1.3408722877502399</v>
      </c>
      <c r="L248">
        <v>1.0904072523117101</v>
      </c>
      <c r="M248">
        <v>1.0082476139068599</v>
      </c>
      <c r="N248">
        <v>0.49497784972190856</v>
      </c>
      <c r="O248">
        <v>0.39813002347946169</v>
      </c>
      <c r="P248" s="6">
        <v>2.2808303833007813</v>
      </c>
      <c r="Q248" s="6">
        <v>1</v>
      </c>
      <c r="R248">
        <v>0</v>
      </c>
      <c r="S248">
        <v>0</v>
      </c>
      <c r="T248">
        <f t="shared" si="8"/>
        <v>-9.554630752212924E-2</v>
      </c>
    </row>
    <row r="249" spans="1:20" x14ac:dyDescent="0.3">
      <c r="A249" s="4" t="s">
        <v>15</v>
      </c>
      <c r="B249" s="4">
        <v>10</v>
      </c>
      <c r="C249" s="4">
        <v>2022</v>
      </c>
      <c r="D249" s="4">
        <v>1.3757832448137599</v>
      </c>
      <c r="E249">
        <v>4.2250091782338401</v>
      </c>
      <c r="F249">
        <v>7</v>
      </c>
      <c r="G249">
        <v>1.3976862099396701</v>
      </c>
      <c r="H249">
        <v>0.66307455301284801</v>
      </c>
      <c r="I249">
        <v>1.0934188365936299</v>
      </c>
      <c r="J249">
        <v>0.814114570617676</v>
      </c>
      <c r="K249">
        <v>1.38589835166931</v>
      </c>
      <c r="L249">
        <v>1.1003965139389</v>
      </c>
      <c r="M249">
        <v>1.0411412715911901</v>
      </c>
      <c r="N249">
        <v>0.47833512783050536</v>
      </c>
      <c r="O249">
        <v>0.41579085469245908</v>
      </c>
      <c r="P249" s="6">
        <v>2.2808303833007813</v>
      </c>
      <c r="Q249" s="6">
        <v>1</v>
      </c>
      <c r="R249">
        <v>0</v>
      </c>
      <c r="S249">
        <v>0</v>
      </c>
      <c r="T249">
        <f t="shared" si="8"/>
        <v>-8.7468356244347387E-2</v>
      </c>
    </row>
    <row r="250" spans="1:20" x14ac:dyDescent="0.3">
      <c r="A250" s="4" t="s">
        <v>15</v>
      </c>
      <c r="B250" s="4">
        <v>10</v>
      </c>
      <c r="C250" s="4">
        <v>2023</v>
      </c>
      <c r="D250" s="4">
        <v>1.2391737797835101</v>
      </c>
      <c r="E250">
        <v>4.68277500627328</v>
      </c>
      <c r="F250">
        <v>6.75</v>
      </c>
      <c r="G250">
        <v>2.4115636571814099</v>
      </c>
      <c r="H250">
        <v>0.76780986785888705</v>
      </c>
      <c r="I250">
        <v>1.1140114068985001</v>
      </c>
      <c r="J250">
        <v>0.96736162900924705</v>
      </c>
      <c r="K250">
        <v>1.30448853969574</v>
      </c>
      <c r="L250">
        <v>1.14218366146088</v>
      </c>
      <c r="M250">
        <v>1.07654917240143</v>
      </c>
      <c r="N250">
        <v>0.44825766754150392</v>
      </c>
      <c r="O250">
        <v>0.42148776507377617</v>
      </c>
      <c r="P250" s="6">
        <v>2.2808303833007813</v>
      </c>
      <c r="Q250" s="6">
        <v>1</v>
      </c>
      <c r="R250">
        <v>0</v>
      </c>
      <c r="S250">
        <v>0</v>
      </c>
      <c r="T250">
        <f t="shared" si="8"/>
        <v>-9.9295776093524607E-2</v>
      </c>
    </row>
    <row r="251" spans="1:20" x14ac:dyDescent="0.3">
      <c r="A251" s="4" t="s">
        <v>15</v>
      </c>
      <c r="B251" s="4">
        <v>10</v>
      </c>
      <c r="C251" s="4">
        <v>2024</v>
      </c>
      <c r="D251" s="4">
        <v>1.2240827752288499</v>
      </c>
      <c r="E251">
        <v>4.7139815172915904</v>
      </c>
      <c r="F251">
        <v>4</v>
      </c>
      <c r="G251">
        <v>2.0434095270638699</v>
      </c>
      <c r="H251">
        <v>0.62701641321182244</v>
      </c>
      <c r="I251">
        <v>1.0215556144714371</v>
      </c>
      <c r="J251">
        <v>0.91666754484176638</v>
      </c>
      <c r="K251">
        <v>1.3002512693405139</v>
      </c>
      <c r="L251">
        <v>1.0737063169479382</v>
      </c>
      <c r="M251">
        <v>0.98772910833358873</v>
      </c>
      <c r="N251">
        <v>0.44135112490653994</v>
      </c>
      <c r="O251">
        <v>0.42076744623184198</v>
      </c>
      <c r="P251" s="6">
        <v>2.2808303833007813</v>
      </c>
      <c r="Q251" s="6">
        <v>1</v>
      </c>
      <c r="R251">
        <v>0</v>
      </c>
      <c r="S251">
        <v>0</v>
      </c>
      <c r="T251">
        <f t="shared" si="8"/>
        <v>-1.2178279431716708E-2</v>
      </c>
    </row>
    <row r="252" spans="1:20" x14ac:dyDescent="0.3">
      <c r="A252" s="4" t="s">
        <v>14</v>
      </c>
      <c r="B252" s="4">
        <v>11</v>
      </c>
      <c r="C252" s="4">
        <v>2000</v>
      </c>
      <c r="D252" s="4">
        <v>0.76820031258977395</v>
      </c>
      <c r="E252">
        <v>12.6</v>
      </c>
      <c r="F252">
        <v>11</v>
      </c>
      <c r="G252">
        <v>9.1914784596665999</v>
      </c>
      <c r="H252">
        <v>0.72057992219924905</v>
      </c>
      <c r="I252">
        <v>0.99992984533309903</v>
      </c>
      <c r="J252">
        <v>0.91844290494918801</v>
      </c>
      <c r="K252">
        <v>1.04222512245178</v>
      </c>
      <c r="L252">
        <v>0.83250594139099099</v>
      </c>
      <c r="M252">
        <v>1.1352666616439799</v>
      </c>
      <c r="N252">
        <v>0.53583687543869019</v>
      </c>
      <c r="O252">
        <v>0.29516750574111938</v>
      </c>
      <c r="P252" s="6">
        <v>-0.17476625740528107</v>
      </c>
      <c r="Q252" s="6">
        <v>0.4181329607963562</v>
      </c>
      <c r="R252">
        <v>0</v>
      </c>
      <c r="S252">
        <v>0</v>
      </c>
    </row>
    <row r="253" spans="1:20" x14ac:dyDescent="0.3">
      <c r="A253" s="4" t="s">
        <v>14</v>
      </c>
      <c r="B253" s="4">
        <v>11</v>
      </c>
      <c r="C253" s="4">
        <v>2001</v>
      </c>
      <c r="D253" s="4">
        <v>0.67705579194013499</v>
      </c>
      <c r="E253">
        <v>12.1166666666666</v>
      </c>
      <c r="F253">
        <v>9.75</v>
      </c>
      <c r="G253">
        <v>8.9843909914168592</v>
      </c>
      <c r="H253">
        <v>0.64729729294776894</v>
      </c>
      <c r="I253">
        <v>0.99593949317932107</v>
      </c>
      <c r="J253">
        <v>1.089557558298109</v>
      </c>
      <c r="K253">
        <v>1.1506584286689749</v>
      </c>
      <c r="L253">
        <v>0.85056388378143299</v>
      </c>
      <c r="M253">
        <v>1.14564448595047</v>
      </c>
      <c r="N253">
        <v>0.33861219882965088</v>
      </c>
      <c r="O253">
        <v>0.26115426421165466</v>
      </c>
      <c r="P253" s="6">
        <v>1.2737407684326172</v>
      </c>
      <c r="Q253" s="6">
        <v>0.7613646388053894</v>
      </c>
      <c r="R253">
        <v>0</v>
      </c>
      <c r="S253">
        <v>0</v>
      </c>
      <c r="T253">
        <f>((D253-D252)/D252)</f>
        <v>-0.11864681536300152</v>
      </c>
    </row>
    <row r="254" spans="1:20" x14ac:dyDescent="0.3">
      <c r="A254" s="4" t="s">
        <v>14</v>
      </c>
      <c r="B254" s="4">
        <v>11</v>
      </c>
      <c r="C254" s="4">
        <v>2002</v>
      </c>
      <c r="D254" s="4">
        <v>0.65579496032034001</v>
      </c>
      <c r="E254">
        <v>10.168876503531701</v>
      </c>
      <c r="F254">
        <v>8.5</v>
      </c>
      <c r="G254">
        <v>7.3202717864930698</v>
      </c>
      <c r="H254">
        <v>0.57401466369628895</v>
      </c>
      <c r="I254">
        <v>0.99194914102554299</v>
      </c>
      <c r="J254">
        <v>1.2606722116470299</v>
      </c>
      <c r="K254">
        <v>1.2590917348861701</v>
      </c>
      <c r="L254">
        <v>0.868621826171875</v>
      </c>
      <c r="M254">
        <v>1.15602231025696</v>
      </c>
      <c r="N254">
        <v>0.48728242516517639</v>
      </c>
      <c r="O254">
        <v>0.41062474250793457</v>
      </c>
      <c r="P254" s="6">
        <v>1.5255131721496582</v>
      </c>
      <c r="Q254" s="6">
        <v>0.82102346420288086</v>
      </c>
      <c r="R254">
        <v>0</v>
      </c>
      <c r="S254">
        <v>0</v>
      </c>
      <c r="T254">
        <f t="shared" ref="T254:T276" si="9">((D254-D253)/D253)</f>
        <v>-3.1401890173439133E-2</v>
      </c>
    </row>
    <row r="255" spans="1:20" x14ac:dyDescent="0.3">
      <c r="A255" s="4" t="s">
        <v>14</v>
      </c>
      <c r="B255" s="4">
        <v>11</v>
      </c>
      <c r="C255" s="4">
        <v>2003</v>
      </c>
      <c r="D255" s="4">
        <v>0.54817577679724006</v>
      </c>
      <c r="E255">
        <v>9.6034239154624608</v>
      </c>
      <c r="F255">
        <v>12.5</v>
      </c>
      <c r="G255">
        <v>7.0778180208270198</v>
      </c>
      <c r="H255">
        <v>0.63568913936615001</v>
      </c>
      <c r="I255">
        <v>0.827253758907318</v>
      </c>
      <c r="J255">
        <v>1.13186395168304</v>
      </c>
      <c r="K255">
        <v>1.11896371841431</v>
      </c>
      <c r="L255">
        <v>0.80535018444061302</v>
      </c>
      <c r="M255">
        <v>1.1673821210861199</v>
      </c>
      <c r="N255">
        <v>0.26925832033157349</v>
      </c>
      <c r="O255">
        <v>0.65052241086959839</v>
      </c>
      <c r="P255" s="6">
        <v>1.7772855758666992</v>
      </c>
      <c r="Q255" s="6">
        <v>0.88068228960037231</v>
      </c>
      <c r="R255">
        <v>0</v>
      </c>
      <c r="S255">
        <v>0</v>
      </c>
      <c r="T255">
        <f t="shared" si="9"/>
        <v>-0.16410492613503858</v>
      </c>
    </row>
    <row r="256" spans="1:20" x14ac:dyDescent="0.3">
      <c r="A256" s="4" t="s">
        <v>14</v>
      </c>
      <c r="B256" s="4">
        <v>11</v>
      </c>
      <c r="C256" s="4">
        <v>2004</v>
      </c>
      <c r="D256" s="4">
        <v>0.608136230455673</v>
      </c>
      <c r="E256">
        <v>12.824526015779099</v>
      </c>
      <c r="F256">
        <v>9.5</v>
      </c>
      <c r="G256">
        <v>10.503843472874401</v>
      </c>
      <c r="H256">
        <v>0.66513556241989102</v>
      </c>
      <c r="I256">
        <v>0.80182677507400502</v>
      </c>
      <c r="J256">
        <v>0.82829761505126998</v>
      </c>
      <c r="K256">
        <v>1.16811418533325</v>
      </c>
      <c r="L256">
        <v>0.84613484144210804</v>
      </c>
      <c r="M256">
        <v>1.1494140625</v>
      </c>
      <c r="N256">
        <v>0.35223489999771118</v>
      </c>
      <c r="O256">
        <v>0.78866267204284668</v>
      </c>
      <c r="P256" s="6">
        <v>2.0290579795837402</v>
      </c>
      <c r="Q256" s="6">
        <v>0.94034117460250854</v>
      </c>
      <c r="R256">
        <v>0</v>
      </c>
      <c r="S256">
        <v>0</v>
      </c>
      <c r="T256">
        <f t="shared" si="9"/>
        <v>0.10938180086824813</v>
      </c>
    </row>
    <row r="257" spans="1:20" x14ac:dyDescent="0.3">
      <c r="A257" s="4" t="s">
        <v>14</v>
      </c>
      <c r="B257" s="4">
        <v>11</v>
      </c>
      <c r="C257" s="4">
        <v>2005</v>
      </c>
      <c r="D257" s="4">
        <v>0.64678563583425697</v>
      </c>
      <c r="E257">
        <v>8.5409453269799194</v>
      </c>
      <c r="F257">
        <v>6</v>
      </c>
      <c r="G257">
        <v>6.4102332889389899</v>
      </c>
      <c r="H257">
        <v>0.62553226947784402</v>
      </c>
      <c r="I257">
        <v>0.74819290637970004</v>
      </c>
      <c r="J257">
        <v>1.00310039520264</v>
      </c>
      <c r="K257">
        <v>1.04747343063354</v>
      </c>
      <c r="L257">
        <v>0.83880919218063399</v>
      </c>
      <c r="M257">
        <v>1.1751893758773799</v>
      </c>
      <c r="N257">
        <v>0.40759527683258057</v>
      </c>
      <c r="O257">
        <v>0.48848801851272583</v>
      </c>
      <c r="P257" s="6">
        <v>2.2808303833007813</v>
      </c>
      <c r="Q257" s="6">
        <v>1</v>
      </c>
      <c r="R257">
        <v>0</v>
      </c>
      <c r="S257">
        <v>0</v>
      </c>
      <c r="T257">
        <f t="shared" si="9"/>
        <v>6.3553860867036627E-2</v>
      </c>
    </row>
    <row r="258" spans="1:20" x14ac:dyDescent="0.3">
      <c r="A258" s="4" t="s">
        <v>14</v>
      </c>
      <c r="B258" s="4">
        <v>11</v>
      </c>
      <c r="C258" s="4">
        <v>2006</v>
      </c>
      <c r="D258" s="4">
        <v>0.74275588820265004</v>
      </c>
      <c r="E258">
        <v>8.0794149879932302</v>
      </c>
      <c r="F258">
        <v>8</v>
      </c>
      <c r="G258">
        <v>6.0329714797372196</v>
      </c>
      <c r="H258">
        <v>0.63317161798477195</v>
      </c>
      <c r="I258">
        <v>0.83941197395324696</v>
      </c>
      <c r="J258">
        <v>0.985676109790802</v>
      </c>
      <c r="K258">
        <v>1.20098865032196</v>
      </c>
      <c r="L258">
        <v>0.97661709785461404</v>
      </c>
      <c r="M258">
        <v>1.0150407552719101</v>
      </c>
      <c r="N258">
        <v>0.22842809557914734</v>
      </c>
      <c r="O258">
        <v>0.53860241174697876</v>
      </c>
      <c r="P258" s="6">
        <v>2.2808303833007813</v>
      </c>
      <c r="Q258" s="6">
        <v>1</v>
      </c>
      <c r="R258">
        <v>0</v>
      </c>
      <c r="S258">
        <v>0</v>
      </c>
      <c r="T258">
        <f t="shared" si="9"/>
        <v>0.14838030879366354</v>
      </c>
    </row>
    <row r="259" spans="1:20" x14ac:dyDescent="0.3">
      <c r="A259" s="4" t="s">
        <v>14</v>
      </c>
      <c r="B259" s="4">
        <v>11</v>
      </c>
      <c r="C259" s="4">
        <v>2007</v>
      </c>
      <c r="D259" s="4">
        <v>0.696518097727168</v>
      </c>
      <c r="E259">
        <v>9.0859474957309008</v>
      </c>
      <c r="F259">
        <v>7.5</v>
      </c>
      <c r="G259">
        <v>7.2303479124598198</v>
      </c>
      <c r="H259">
        <v>0.59529107809066795</v>
      </c>
      <c r="I259">
        <v>0.69106680154800404</v>
      </c>
      <c r="J259">
        <v>0.74709671735763505</v>
      </c>
      <c r="K259">
        <v>1.20607209205627</v>
      </c>
      <c r="L259">
        <v>0.94144928455352805</v>
      </c>
      <c r="M259">
        <v>1.04105567932129</v>
      </c>
      <c r="N259">
        <v>0.40286251902580261</v>
      </c>
      <c r="O259">
        <v>0.58656060695648193</v>
      </c>
      <c r="P259" s="6">
        <v>2.2808303833007813</v>
      </c>
      <c r="Q259" s="6">
        <v>1</v>
      </c>
      <c r="R259">
        <v>0</v>
      </c>
      <c r="S259">
        <v>0</v>
      </c>
      <c r="T259">
        <f t="shared" si="9"/>
        <v>-6.2251664658452013E-2</v>
      </c>
    </row>
    <row r="260" spans="1:20" x14ac:dyDescent="0.3">
      <c r="A260" s="4" t="s">
        <v>14</v>
      </c>
      <c r="B260" s="4">
        <v>11</v>
      </c>
      <c r="C260" s="4">
        <v>2008</v>
      </c>
      <c r="D260" s="4">
        <v>0.83116288858040899</v>
      </c>
      <c r="E260">
        <v>10.181667738435401</v>
      </c>
      <c r="F260">
        <v>10</v>
      </c>
      <c r="G260">
        <v>8.0563365818582504</v>
      </c>
      <c r="H260">
        <v>0.43409702181816101</v>
      </c>
      <c r="I260">
        <v>0.69597786664962802</v>
      </c>
      <c r="J260">
        <v>0.75026386976242099</v>
      </c>
      <c r="K260">
        <v>1.1741032600402801</v>
      </c>
      <c r="L260">
        <v>0.91338652372360196</v>
      </c>
      <c r="M260">
        <v>0.96570843458175704</v>
      </c>
      <c r="N260">
        <v>0.22037573158740997</v>
      </c>
      <c r="O260">
        <v>0.64269906282424927</v>
      </c>
      <c r="P260" s="6">
        <v>2.2808303833007813</v>
      </c>
      <c r="Q260" s="6">
        <v>1</v>
      </c>
      <c r="R260">
        <v>0</v>
      </c>
      <c r="S260">
        <v>0</v>
      </c>
      <c r="T260">
        <f t="shared" si="9"/>
        <v>0.19331125966806176</v>
      </c>
    </row>
    <row r="261" spans="1:20" x14ac:dyDescent="0.3">
      <c r="A261" s="4" t="s">
        <v>14</v>
      </c>
      <c r="B261" s="4">
        <v>11</v>
      </c>
      <c r="C261" s="4">
        <v>2009</v>
      </c>
      <c r="D261" s="4">
        <v>1.1643117671124099</v>
      </c>
      <c r="E261">
        <v>11.0368622157409</v>
      </c>
      <c r="F261">
        <v>6.25</v>
      </c>
      <c r="G261">
        <v>8.1394421584900698</v>
      </c>
      <c r="H261">
        <v>0.39532983303070102</v>
      </c>
      <c r="I261">
        <v>0.66804838180542003</v>
      </c>
      <c r="J261">
        <v>0.53681629896163896</v>
      </c>
      <c r="K261">
        <v>1.08185982704163</v>
      </c>
      <c r="L261">
        <v>0.77115595340728804</v>
      </c>
      <c r="M261">
        <v>0.90972435474395796</v>
      </c>
      <c r="N261">
        <v>0.17574742436408997</v>
      </c>
      <c r="O261">
        <v>0.51227271556854248</v>
      </c>
      <c r="P261" s="6">
        <v>2.2808303833007813</v>
      </c>
      <c r="Q261" s="6">
        <v>1</v>
      </c>
      <c r="R261">
        <v>0</v>
      </c>
      <c r="S261">
        <v>0</v>
      </c>
      <c r="T261">
        <f t="shared" si="9"/>
        <v>0.400822610235889</v>
      </c>
    </row>
    <row r="262" spans="1:20" x14ac:dyDescent="0.3">
      <c r="A262" s="4" t="s">
        <v>14</v>
      </c>
      <c r="B262" s="4">
        <v>11</v>
      </c>
      <c r="C262" s="4">
        <v>2010</v>
      </c>
      <c r="D262" s="4">
        <v>1.3500260937671</v>
      </c>
      <c r="E262">
        <v>7.5869251134784097</v>
      </c>
      <c r="F262">
        <v>5.75</v>
      </c>
      <c r="G262">
        <v>4.9264092206363399</v>
      </c>
      <c r="H262">
        <v>0.30395406484603898</v>
      </c>
      <c r="I262">
        <v>0.644822657108307</v>
      </c>
      <c r="J262">
        <v>0.68578374385833696</v>
      </c>
      <c r="K262">
        <v>1.01445388793945</v>
      </c>
      <c r="L262">
        <v>0.77266937494277999</v>
      </c>
      <c r="M262">
        <v>0.894237220287323</v>
      </c>
      <c r="N262">
        <v>0.27718007564544678</v>
      </c>
      <c r="O262">
        <v>0.48587775230407715</v>
      </c>
      <c r="P262" s="6">
        <v>2.2808303833007813</v>
      </c>
      <c r="Q262" s="6">
        <v>1</v>
      </c>
      <c r="R262">
        <v>0</v>
      </c>
      <c r="S262">
        <v>0</v>
      </c>
      <c r="T262">
        <f t="shared" si="9"/>
        <v>0.15950566841326108</v>
      </c>
    </row>
    <row r="263" spans="1:20" x14ac:dyDescent="0.3">
      <c r="A263" s="4" t="s">
        <v>14</v>
      </c>
      <c r="B263" s="4">
        <v>11</v>
      </c>
      <c r="C263" s="4">
        <v>2011</v>
      </c>
      <c r="D263" s="4">
        <v>1.6154126035642999</v>
      </c>
      <c r="E263">
        <v>8.3203816663583297</v>
      </c>
      <c r="F263">
        <v>7</v>
      </c>
      <c r="G263">
        <v>5.4901140294833297</v>
      </c>
      <c r="H263">
        <v>0.33264955878257801</v>
      </c>
      <c r="I263">
        <v>0.65021163225173995</v>
      </c>
      <c r="J263">
        <v>0.74325406551361095</v>
      </c>
      <c r="K263">
        <v>1.0275454521179199</v>
      </c>
      <c r="L263">
        <v>0.75660258531570401</v>
      </c>
      <c r="M263">
        <v>0.83697313070297197</v>
      </c>
      <c r="N263">
        <v>0.25145018100738525</v>
      </c>
      <c r="O263">
        <v>0.44441726803779602</v>
      </c>
      <c r="P263" s="6">
        <v>2.2808303833007813</v>
      </c>
      <c r="Q263" s="6">
        <v>1</v>
      </c>
      <c r="R263">
        <v>0</v>
      </c>
      <c r="S263">
        <v>0</v>
      </c>
      <c r="T263">
        <f t="shared" si="9"/>
        <v>0.19657880023390356</v>
      </c>
    </row>
    <row r="264" spans="1:20" x14ac:dyDescent="0.3">
      <c r="A264" s="4" t="s">
        <v>14</v>
      </c>
      <c r="B264" s="4">
        <v>11</v>
      </c>
      <c r="C264" s="4">
        <v>2012</v>
      </c>
      <c r="D264" s="4">
        <v>2.4269116707645102</v>
      </c>
      <c r="E264">
        <v>9.0015445105916605</v>
      </c>
      <c r="F264">
        <v>5.75</v>
      </c>
      <c r="G264">
        <v>6.2739246959333297</v>
      </c>
      <c r="H264">
        <v>0.298703163862228</v>
      </c>
      <c r="I264">
        <v>0.60861784219741799</v>
      </c>
      <c r="J264">
        <v>0.67579478025436401</v>
      </c>
      <c r="K264">
        <v>0.98206216096878096</v>
      </c>
      <c r="L264">
        <v>0.61110287904739402</v>
      </c>
      <c r="M264">
        <v>0.74936765432357799</v>
      </c>
      <c r="N264">
        <v>0.23401618003845215</v>
      </c>
      <c r="O264">
        <v>0.55942940711975098</v>
      </c>
      <c r="P264" s="6">
        <v>2.2808303833007813</v>
      </c>
      <c r="Q264" s="6">
        <v>1</v>
      </c>
      <c r="R264">
        <v>0</v>
      </c>
      <c r="S264">
        <v>0</v>
      </c>
      <c r="T264">
        <f t="shared" si="9"/>
        <v>0.50234786172256662</v>
      </c>
    </row>
    <row r="265" spans="1:20" x14ac:dyDescent="0.3">
      <c r="A265" s="4" t="s">
        <v>14</v>
      </c>
      <c r="B265" s="4">
        <v>11</v>
      </c>
      <c r="C265" s="4">
        <v>2013</v>
      </c>
      <c r="D265" s="4">
        <v>3.0353724846874202</v>
      </c>
      <c r="E265">
        <v>6.3039123539083297</v>
      </c>
      <c r="F265">
        <v>3</v>
      </c>
      <c r="G265">
        <v>3.7707482743749998</v>
      </c>
      <c r="H265">
        <v>0.293921649456024</v>
      </c>
      <c r="I265">
        <v>0.67841839790344205</v>
      </c>
      <c r="J265">
        <v>0.79664611816406194</v>
      </c>
      <c r="K265">
        <v>0.89994639158248901</v>
      </c>
      <c r="L265">
        <v>0.58302003145217896</v>
      </c>
      <c r="M265">
        <v>0.73716461658477805</v>
      </c>
      <c r="N265">
        <v>0.36573648452758789</v>
      </c>
      <c r="O265">
        <v>0.33801281452178955</v>
      </c>
      <c r="P265" s="6">
        <v>2.2808303833007813</v>
      </c>
      <c r="Q265" s="6">
        <v>1</v>
      </c>
      <c r="R265">
        <v>0</v>
      </c>
      <c r="S265">
        <v>0</v>
      </c>
      <c r="T265">
        <f t="shared" si="9"/>
        <v>0.25071403349889387</v>
      </c>
    </row>
    <row r="266" spans="1:20" x14ac:dyDescent="0.3">
      <c r="A266" s="4" t="s">
        <v>14</v>
      </c>
      <c r="B266" s="4">
        <v>11</v>
      </c>
      <c r="C266" s="4">
        <v>2014</v>
      </c>
      <c r="D266" s="4">
        <v>2.9686297223243998</v>
      </c>
      <c r="E266">
        <v>4.4475343271583299</v>
      </c>
      <c r="F266">
        <v>2.1</v>
      </c>
      <c r="G266">
        <v>1.7774625851666599</v>
      </c>
      <c r="H266">
        <v>0.156544849276543</v>
      </c>
      <c r="I266">
        <v>0.58289563655853305</v>
      </c>
      <c r="J266">
        <v>0.66990482807159402</v>
      </c>
      <c r="K266">
        <v>0.74794626235961903</v>
      </c>
      <c r="L266">
        <v>0.50920277833938599</v>
      </c>
      <c r="M266">
        <v>0.55321401357650801</v>
      </c>
      <c r="N266">
        <v>0.35229489207267761</v>
      </c>
      <c r="O266">
        <v>0.34487929940223694</v>
      </c>
      <c r="P266" s="6">
        <v>2.2808303833007813</v>
      </c>
      <c r="Q266" s="6">
        <v>1</v>
      </c>
      <c r="R266">
        <v>0</v>
      </c>
      <c r="S266">
        <v>0</v>
      </c>
      <c r="T266">
        <f t="shared" si="9"/>
        <v>-2.1988326869179436E-2</v>
      </c>
    </row>
    <row r="267" spans="1:20" x14ac:dyDescent="0.3">
      <c r="A267" s="4" t="s">
        <v>14</v>
      </c>
      <c r="B267" s="4">
        <v>11</v>
      </c>
      <c r="C267" s="4">
        <v>2015</v>
      </c>
      <c r="D267" s="4">
        <v>3.1398335650571001</v>
      </c>
      <c r="E267">
        <v>2.9024906904666601</v>
      </c>
      <c r="F267">
        <v>1.35</v>
      </c>
      <c r="G267">
        <v>1.1125032961000001</v>
      </c>
      <c r="H267">
        <v>0.118709452450275</v>
      </c>
      <c r="I267">
        <v>0.50973695516586304</v>
      </c>
      <c r="J267">
        <v>0.73779249191284202</v>
      </c>
      <c r="K267">
        <v>0.75026142597198497</v>
      </c>
      <c r="L267">
        <v>0.382024466991425</v>
      </c>
      <c r="M267">
        <v>0.56009066104888905</v>
      </c>
      <c r="N267">
        <v>0.41034197807312012</v>
      </c>
      <c r="O267">
        <v>0.10838299989700317</v>
      </c>
      <c r="P267" s="6">
        <v>2.2808303833007813</v>
      </c>
      <c r="Q267" s="6">
        <v>1</v>
      </c>
      <c r="R267">
        <v>0</v>
      </c>
      <c r="S267">
        <v>0</v>
      </c>
      <c r="T267">
        <f t="shared" si="9"/>
        <v>5.7670999331856661E-2</v>
      </c>
    </row>
    <row r="268" spans="1:20" x14ac:dyDescent="0.3">
      <c r="A268" s="4" t="s">
        <v>14</v>
      </c>
      <c r="B268" s="4">
        <v>11</v>
      </c>
      <c r="C268" s="4">
        <v>2016</v>
      </c>
      <c r="D268" s="4">
        <v>3.22385742993617</v>
      </c>
      <c r="E268">
        <v>2.0890711121333299</v>
      </c>
      <c r="F268">
        <v>0.9</v>
      </c>
      <c r="G268">
        <v>0.58095322661666604</v>
      </c>
      <c r="H268">
        <v>7.21640735864639E-2</v>
      </c>
      <c r="I268">
        <v>0.457127034664154</v>
      </c>
      <c r="J268">
        <v>0.64338093996047996</v>
      </c>
      <c r="K268">
        <v>0.59076905250549305</v>
      </c>
      <c r="L268">
        <v>0.41362625360488903</v>
      </c>
      <c r="M268">
        <v>0.402424246072769</v>
      </c>
      <c r="N268">
        <v>0.57307207584381104</v>
      </c>
      <c r="O268">
        <v>0.22183696925640106</v>
      </c>
      <c r="P268" s="6">
        <v>2.2808303833007813</v>
      </c>
      <c r="Q268" s="6">
        <v>1</v>
      </c>
      <c r="R268">
        <v>0</v>
      </c>
      <c r="S268">
        <v>0</v>
      </c>
      <c r="T268">
        <f t="shared" si="9"/>
        <v>2.6760611076384184E-2</v>
      </c>
    </row>
    <row r="269" spans="1:20" x14ac:dyDescent="0.3">
      <c r="A269" s="4" t="s">
        <v>14</v>
      </c>
      <c r="B269" s="4">
        <v>11</v>
      </c>
      <c r="C269" s="4">
        <v>2017</v>
      </c>
      <c r="D269" s="4">
        <v>2.87307372025368</v>
      </c>
      <c r="E269">
        <v>1.4811434216666599</v>
      </c>
      <c r="F269">
        <v>0.9</v>
      </c>
      <c r="G269">
        <v>0.120096355691666</v>
      </c>
      <c r="H269">
        <v>9.0621344745159094E-2</v>
      </c>
      <c r="I269">
        <v>0.481280267238617</v>
      </c>
      <c r="J269">
        <v>0.79620051383972201</v>
      </c>
      <c r="K269">
        <v>0.63702911138534501</v>
      </c>
      <c r="L269">
        <v>0.53743231296539296</v>
      </c>
      <c r="M269">
        <v>0.53744047880172696</v>
      </c>
      <c r="N269">
        <v>0.5062105655670166</v>
      </c>
      <c r="O269">
        <v>0.35733833909034729</v>
      </c>
      <c r="P269" s="6">
        <v>2.2808303833007813</v>
      </c>
      <c r="Q269" s="6">
        <v>1</v>
      </c>
      <c r="R269">
        <v>0</v>
      </c>
      <c r="S269">
        <v>0</v>
      </c>
      <c r="T269">
        <f t="shared" si="9"/>
        <v>-0.1088086918562758</v>
      </c>
    </row>
    <row r="270" spans="1:20" x14ac:dyDescent="0.3">
      <c r="A270" s="4" t="s">
        <v>14</v>
      </c>
      <c r="B270" s="4">
        <v>11</v>
      </c>
      <c r="C270" s="4">
        <v>2018</v>
      </c>
      <c r="D270" s="4">
        <v>2.7298822033547698</v>
      </c>
      <c r="E270">
        <v>1.4709675930083299</v>
      </c>
      <c r="F270">
        <v>0.9</v>
      </c>
      <c r="G270">
        <v>6.4322429599999995E-2</v>
      </c>
      <c r="H270">
        <v>5.5339220911264399E-2</v>
      </c>
      <c r="I270">
        <v>0.443152636289597</v>
      </c>
      <c r="J270">
        <v>0.73759144544601396</v>
      </c>
      <c r="K270">
        <v>0.56364238262176503</v>
      </c>
      <c r="L270">
        <v>0.55506968498230003</v>
      </c>
      <c r="M270">
        <v>0.487892836332321</v>
      </c>
      <c r="N270">
        <v>0.39584866166114807</v>
      </c>
      <c r="O270">
        <v>0.31902572512626648</v>
      </c>
      <c r="P270" s="6">
        <v>2.2808303833007813</v>
      </c>
      <c r="Q270" s="6">
        <v>1</v>
      </c>
      <c r="R270">
        <v>0</v>
      </c>
      <c r="S270">
        <v>0</v>
      </c>
      <c r="T270">
        <f t="shared" si="9"/>
        <v>-4.9839137746269524E-2</v>
      </c>
    </row>
    <row r="271" spans="1:20" x14ac:dyDescent="0.3">
      <c r="A271" s="4" t="s">
        <v>14</v>
      </c>
      <c r="B271" s="4">
        <v>11</v>
      </c>
      <c r="C271" s="4">
        <v>2019</v>
      </c>
      <c r="D271" s="4">
        <v>2.9558224999540501</v>
      </c>
      <c r="E271">
        <v>1.7924337879083301</v>
      </c>
      <c r="F271">
        <v>0.9</v>
      </c>
      <c r="G271">
        <v>0.10476413567499999</v>
      </c>
      <c r="H271">
        <v>3.06371729820967E-2</v>
      </c>
      <c r="I271">
        <v>0.45047891139984098</v>
      </c>
      <c r="J271">
        <v>0.761921286582947</v>
      </c>
      <c r="K271">
        <v>0.59232217073440596</v>
      </c>
      <c r="L271">
        <v>0.49868422746658297</v>
      </c>
      <c r="M271">
        <v>0.34357354044914201</v>
      </c>
      <c r="N271">
        <v>0.44312542676925659</v>
      </c>
      <c r="O271">
        <v>0.32246595621109009</v>
      </c>
      <c r="P271" s="6">
        <v>2.2808303833007813</v>
      </c>
      <c r="Q271" s="6">
        <v>1</v>
      </c>
      <c r="R271">
        <v>0</v>
      </c>
      <c r="S271">
        <v>0</v>
      </c>
      <c r="T271">
        <f t="shared" si="9"/>
        <v>8.2765584654759389E-2</v>
      </c>
    </row>
    <row r="272" spans="1:20" x14ac:dyDescent="0.3">
      <c r="A272" s="4" t="s">
        <v>14</v>
      </c>
      <c r="B272" s="4">
        <v>11</v>
      </c>
      <c r="C272" s="4">
        <v>2020</v>
      </c>
      <c r="D272" s="4">
        <v>2.4704983437156902</v>
      </c>
      <c r="E272">
        <v>1.9576891332416599</v>
      </c>
      <c r="F272">
        <v>0.6</v>
      </c>
      <c r="G272">
        <v>0.467145774525</v>
      </c>
      <c r="H272">
        <v>6.8954095244407695E-2</v>
      </c>
      <c r="I272">
        <v>0.53853559494018599</v>
      </c>
      <c r="J272">
        <v>0.83704686164856001</v>
      </c>
      <c r="K272">
        <v>0.46936684846878102</v>
      </c>
      <c r="L272">
        <v>0.492385804653168</v>
      </c>
      <c r="M272">
        <v>0.39037311077117898</v>
      </c>
      <c r="N272">
        <v>0.26000863313674927</v>
      </c>
      <c r="O272">
        <v>0.23809289932250977</v>
      </c>
      <c r="P272" s="6">
        <v>2.2808303833007813</v>
      </c>
      <c r="Q272" s="6">
        <v>1</v>
      </c>
      <c r="R272">
        <v>0</v>
      </c>
      <c r="S272">
        <v>0</v>
      </c>
      <c r="T272">
        <f t="shared" si="9"/>
        <v>-0.16419259148541718</v>
      </c>
    </row>
    <row r="273" spans="1:20" x14ac:dyDescent="0.3">
      <c r="A273" s="4" t="s">
        <v>14</v>
      </c>
      <c r="B273" s="4">
        <v>11</v>
      </c>
      <c r="C273" s="4">
        <v>2021</v>
      </c>
      <c r="D273" s="4">
        <v>2.05117225294059</v>
      </c>
      <c r="E273">
        <v>2.9645376181</v>
      </c>
      <c r="F273">
        <v>2.4</v>
      </c>
      <c r="G273">
        <v>1.0140479751</v>
      </c>
      <c r="H273">
        <v>1.1954849585890799E-2</v>
      </c>
      <c r="I273">
        <v>0.596821069717407</v>
      </c>
      <c r="J273">
        <v>0.79859125614166304</v>
      </c>
      <c r="K273">
        <v>0.48528414964675898</v>
      </c>
      <c r="L273">
        <v>0.50537341833114602</v>
      </c>
      <c r="M273">
        <v>0.39748060703277599</v>
      </c>
      <c r="N273">
        <v>0.43565307259559632</v>
      </c>
      <c r="O273">
        <v>0.29175197780132295</v>
      </c>
      <c r="P273" s="6">
        <v>2.2808303833007813</v>
      </c>
      <c r="Q273" s="6">
        <v>1</v>
      </c>
      <c r="R273">
        <v>0</v>
      </c>
      <c r="S273">
        <v>0</v>
      </c>
      <c r="T273">
        <f t="shared" si="9"/>
        <v>-0.16973340291514766</v>
      </c>
    </row>
    <row r="274" spans="1:20" x14ac:dyDescent="0.3">
      <c r="A274" s="4" t="s">
        <v>14</v>
      </c>
      <c r="B274" s="4">
        <v>11</v>
      </c>
      <c r="C274" s="4">
        <v>2022</v>
      </c>
      <c r="D274" s="4">
        <v>2.2424521145242999</v>
      </c>
      <c r="E274">
        <v>10.6554314535916</v>
      </c>
      <c r="F274">
        <v>13</v>
      </c>
      <c r="G274">
        <v>8.3636768354333295</v>
      </c>
      <c r="H274">
        <v>-0.103261694312096</v>
      </c>
      <c r="I274">
        <v>0.53386992216110196</v>
      </c>
      <c r="J274">
        <v>0.67867630720138505</v>
      </c>
      <c r="K274">
        <v>0.40653768181800798</v>
      </c>
      <c r="L274">
        <v>0.42206713557243303</v>
      </c>
      <c r="M274">
        <v>0.42534744739532498</v>
      </c>
      <c r="N274">
        <v>0.40816927194595343</v>
      </c>
      <c r="O274">
        <v>0.30573497951030731</v>
      </c>
      <c r="P274" s="6">
        <v>2.2808303833007813</v>
      </c>
      <c r="Q274" s="6">
        <v>1</v>
      </c>
      <c r="R274">
        <v>0</v>
      </c>
      <c r="S274">
        <v>0</v>
      </c>
      <c r="T274">
        <f t="shared" si="9"/>
        <v>9.3253924096081325E-2</v>
      </c>
    </row>
    <row r="275" spans="1:20" x14ac:dyDescent="0.3">
      <c r="A275" s="4" t="s">
        <v>14</v>
      </c>
      <c r="B275" s="4">
        <v>11</v>
      </c>
      <c r="C275" s="4">
        <v>2023</v>
      </c>
      <c r="D275" s="4">
        <v>2.4098396544518201</v>
      </c>
      <c r="E275">
        <v>15.3020823180166</v>
      </c>
      <c r="F275">
        <v>10.75</v>
      </c>
      <c r="G275">
        <v>13.1175665841916</v>
      </c>
      <c r="H275">
        <v>-4.9813062651082895E-4</v>
      </c>
      <c r="I275">
        <v>0.37275889515876798</v>
      </c>
      <c r="J275">
        <v>0.73189181089401201</v>
      </c>
      <c r="K275">
        <v>0.318309366703033</v>
      </c>
      <c r="L275">
        <v>0.42708453536033603</v>
      </c>
      <c r="M275">
        <v>0.35952889919281</v>
      </c>
      <c r="N275">
        <v>0.38856101322174075</v>
      </c>
      <c r="O275">
        <v>0.29541430759429932</v>
      </c>
      <c r="P275" s="6">
        <v>2.2808303833007813</v>
      </c>
      <c r="Q275" s="6">
        <v>1</v>
      </c>
      <c r="R275">
        <v>0</v>
      </c>
      <c r="S275">
        <v>0</v>
      </c>
      <c r="T275">
        <f t="shared" si="9"/>
        <v>7.4644867037898271E-2</v>
      </c>
    </row>
    <row r="276" spans="1:20" x14ac:dyDescent="0.3">
      <c r="A276" s="4" t="s">
        <v>14</v>
      </c>
      <c r="B276" s="4">
        <v>11</v>
      </c>
      <c r="C276" s="4">
        <v>2024</v>
      </c>
      <c r="D276" s="4">
        <v>2.4614554091140199</v>
      </c>
      <c r="E276">
        <v>9.1267151564083306</v>
      </c>
      <c r="F276">
        <v>6.5</v>
      </c>
      <c r="G276">
        <v>6.1804807774250001</v>
      </c>
      <c r="H276">
        <v>1.5572585747576722E-3</v>
      </c>
      <c r="I276">
        <v>0.49849287867546083</v>
      </c>
      <c r="J276">
        <v>0.76162550449371336</v>
      </c>
      <c r="K276">
        <v>0.4543640434741974</v>
      </c>
      <c r="L276">
        <v>0.46911902427673324</v>
      </c>
      <c r="M276">
        <v>0.38326072096824643</v>
      </c>
      <c r="N276">
        <v>0.38710348353385926</v>
      </c>
      <c r="O276">
        <v>0.29069202408790584</v>
      </c>
      <c r="P276" s="6">
        <v>2.2808303833007813</v>
      </c>
      <c r="Q276" s="6">
        <v>1</v>
      </c>
      <c r="R276">
        <v>0</v>
      </c>
      <c r="S276">
        <v>0</v>
      </c>
      <c r="T276">
        <f t="shared" si="9"/>
        <v>2.1418750648760958E-2</v>
      </c>
    </row>
    <row r="277" spans="1:20" x14ac:dyDescent="0.3">
      <c r="A277" s="4" t="s">
        <v>13</v>
      </c>
      <c r="B277" s="4">
        <v>12</v>
      </c>
      <c r="C277" s="4">
        <v>2000</v>
      </c>
      <c r="D277" s="4">
        <v>0.39117666594421902</v>
      </c>
      <c r="E277">
        <v>16.8</v>
      </c>
      <c r="F277" s="2">
        <v>10.77</v>
      </c>
      <c r="G277" s="2">
        <v>4.8</v>
      </c>
      <c r="H277">
        <v>2.1970431804657</v>
      </c>
      <c r="I277">
        <v>1.94497442245483</v>
      </c>
      <c r="J277">
        <v>1.5753306150436399</v>
      </c>
      <c r="K277">
        <v>1.55263936519623</v>
      </c>
      <c r="L277">
        <v>1.7967945337295499</v>
      </c>
      <c r="M277">
        <v>1.49271559715271</v>
      </c>
      <c r="N277">
        <v>0.29726704955101013</v>
      </c>
      <c r="O277">
        <v>0.31748002767562866</v>
      </c>
      <c r="P277">
        <v>1.0219684839248657</v>
      </c>
      <c r="Q277">
        <v>0.70170581340789795</v>
      </c>
      <c r="R277">
        <v>0</v>
      </c>
      <c r="S277">
        <v>0</v>
      </c>
    </row>
    <row r="278" spans="1:20" x14ac:dyDescent="0.3">
      <c r="A278" s="4" t="s">
        <v>13</v>
      </c>
      <c r="B278" s="4">
        <v>12</v>
      </c>
      <c r="C278" s="4">
        <v>2001</v>
      </c>
      <c r="D278" s="4">
        <v>0.47271644111975802</v>
      </c>
      <c r="E278">
        <v>17.95</v>
      </c>
      <c r="F278" s="2">
        <v>9.4</v>
      </c>
      <c r="G278" s="2">
        <v>6.15</v>
      </c>
      <c r="H278">
        <v>2.1958286762237549</v>
      </c>
      <c r="I278">
        <v>1.9508930444717398</v>
      </c>
      <c r="J278">
        <v>1.5978115797042851</v>
      </c>
      <c r="K278">
        <v>1.5291062593460101</v>
      </c>
      <c r="L278">
        <v>1.82797712087631</v>
      </c>
      <c r="M278">
        <v>1.48285388946533</v>
      </c>
      <c r="N278">
        <v>0.25837737321853638</v>
      </c>
      <c r="O278">
        <v>0.38157778978347778</v>
      </c>
      <c r="P278">
        <v>1.0219684839248657</v>
      </c>
      <c r="Q278">
        <v>0.70170581340789795</v>
      </c>
      <c r="R278">
        <v>0</v>
      </c>
      <c r="S278">
        <v>0</v>
      </c>
      <c r="T278">
        <f>((D278-D277)/D277)</f>
        <v>0.20844744146156818</v>
      </c>
    </row>
    <row r="279" spans="1:20" x14ac:dyDescent="0.3">
      <c r="A279" s="4" t="s">
        <v>13</v>
      </c>
      <c r="B279" s="4">
        <v>12</v>
      </c>
      <c r="C279" s="4">
        <v>2002</v>
      </c>
      <c r="D279" s="4">
        <v>0.68786456007824304</v>
      </c>
      <c r="E279">
        <v>15.3666666666666</v>
      </c>
      <c r="F279">
        <v>5.63</v>
      </c>
      <c r="G279" s="2">
        <v>5.3</v>
      </c>
      <c r="H279">
        <v>2.1946141719818102</v>
      </c>
      <c r="I279">
        <v>1.9568116664886499</v>
      </c>
      <c r="J279">
        <v>1.6202925443649301</v>
      </c>
      <c r="K279">
        <v>1.5055731534957899</v>
      </c>
      <c r="L279">
        <v>1.85915970802307</v>
      </c>
      <c r="M279">
        <v>1.4729921817779501</v>
      </c>
      <c r="N279">
        <v>0.37436336278915405</v>
      </c>
      <c r="O279">
        <v>0.34144729375839233</v>
      </c>
      <c r="P279">
        <v>1.0219684839248657</v>
      </c>
      <c r="Q279">
        <v>0.70170581340789795</v>
      </c>
      <c r="R279">
        <v>0</v>
      </c>
      <c r="S279">
        <v>0</v>
      </c>
      <c r="T279">
        <f t="shared" ref="T279:T301" si="10">((D279-D278)/D278)</f>
        <v>0.45513144930785127</v>
      </c>
    </row>
    <row r="280" spans="1:20" x14ac:dyDescent="0.3">
      <c r="A280" s="4" t="s">
        <v>13</v>
      </c>
      <c r="B280" s="4">
        <v>12</v>
      </c>
      <c r="C280" s="4">
        <v>2003</v>
      </c>
      <c r="D280" s="4">
        <v>0.4235388197212</v>
      </c>
      <c r="E280">
        <v>11.95</v>
      </c>
      <c r="F280">
        <v>5.16</v>
      </c>
      <c r="G280" s="2">
        <v>3.85</v>
      </c>
      <c r="H280">
        <v>2.2275228500366202</v>
      </c>
      <c r="I280">
        <v>2.0399632453918501</v>
      </c>
      <c r="J280">
        <v>1.5172321796417201</v>
      </c>
      <c r="K280">
        <v>1.6300034523010301</v>
      </c>
      <c r="L280">
        <v>1.9187545776367201</v>
      </c>
      <c r="M280">
        <v>1.55566942691803</v>
      </c>
      <c r="N280">
        <v>0.38409337401390076</v>
      </c>
      <c r="O280">
        <v>0.3046204149723053</v>
      </c>
      <c r="P280">
        <v>1.0219684839248657</v>
      </c>
      <c r="Q280">
        <v>0.70170581340789795</v>
      </c>
      <c r="R280">
        <v>0</v>
      </c>
      <c r="S280">
        <v>0</v>
      </c>
      <c r="T280">
        <f t="shared" si="10"/>
        <v>-0.38427003758847028</v>
      </c>
    </row>
    <row r="281" spans="1:20" x14ac:dyDescent="0.3">
      <c r="A281" s="4" t="s">
        <v>13</v>
      </c>
      <c r="B281" s="4">
        <v>12</v>
      </c>
      <c r="C281" s="4">
        <v>2004</v>
      </c>
      <c r="D281" s="4">
        <v>0.43658422295965199</v>
      </c>
      <c r="E281">
        <v>12.0166666666666</v>
      </c>
      <c r="F281">
        <v>7.92</v>
      </c>
      <c r="G281" s="2">
        <v>4.2</v>
      </c>
      <c r="H281">
        <v>2.1672317981720002</v>
      </c>
      <c r="I281">
        <v>2.0523438453674299</v>
      </c>
      <c r="J281">
        <v>1.45700466632843</v>
      </c>
      <c r="K281">
        <v>1.6127082109451301</v>
      </c>
      <c r="L281">
        <v>1.9061242341995199</v>
      </c>
      <c r="M281">
        <v>1.62832796573639</v>
      </c>
      <c r="N281">
        <v>0.32636946439743042</v>
      </c>
      <c r="O281">
        <v>0.27049645781517029</v>
      </c>
      <c r="P281">
        <v>1.0219684839248657</v>
      </c>
      <c r="Q281">
        <v>0.70170581340789795</v>
      </c>
      <c r="R281">
        <v>0</v>
      </c>
      <c r="S281">
        <v>0</v>
      </c>
      <c r="T281">
        <f t="shared" si="10"/>
        <v>3.0800962346354224E-2</v>
      </c>
    </row>
    <row r="282" spans="1:20" x14ac:dyDescent="0.3">
      <c r="A282" s="4" t="s">
        <v>13</v>
      </c>
      <c r="B282" s="4">
        <v>12</v>
      </c>
      <c r="C282" s="4">
        <v>2005</v>
      </c>
      <c r="D282" s="4">
        <v>0.39072727483320802</v>
      </c>
      <c r="E282">
        <v>14.7775286625065</v>
      </c>
      <c r="F282">
        <v>9.9700000000000006</v>
      </c>
      <c r="G282" s="2">
        <v>6.4</v>
      </c>
      <c r="H282">
        <v>2.3013553619384801</v>
      </c>
      <c r="I282">
        <v>1.9684877395629901</v>
      </c>
      <c r="J282">
        <v>1.44469714164734</v>
      </c>
      <c r="K282">
        <v>1.6023203134536701</v>
      </c>
      <c r="L282">
        <v>1.9393240213394201</v>
      </c>
      <c r="M282">
        <v>1.568608045578</v>
      </c>
      <c r="N282">
        <v>0.31933379173278809</v>
      </c>
      <c r="O282">
        <v>0.20359402894973755</v>
      </c>
      <c r="P282">
        <v>1.0219684839248657</v>
      </c>
      <c r="Q282">
        <v>0.70170581340789795</v>
      </c>
      <c r="R282">
        <v>0</v>
      </c>
      <c r="S282">
        <v>0</v>
      </c>
      <c r="T282">
        <f t="shared" si="10"/>
        <v>-0.10503574273842223</v>
      </c>
    </row>
    <row r="283" spans="1:20" x14ac:dyDescent="0.3">
      <c r="A283" s="4" t="s">
        <v>13</v>
      </c>
      <c r="B283" s="4">
        <v>12</v>
      </c>
      <c r="C283" s="4">
        <v>2006</v>
      </c>
      <c r="D283" s="4">
        <v>0.46103531747937199</v>
      </c>
      <c r="E283">
        <v>17.908979824067799</v>
      </c>
      <c r="F283">
        <v>13.3</v>
      </c>
      <c r="G283" s="2">
        <v>9.1</v>
      </c>
      <c r="H283">
        <v>2.1729111671447798</v>
      </c>
      <c r="I283">
        <v>1.89015877246857</v>
      </c>
      <c r="J283">
        <v>1.4538265466690099</v>
      </c>
      <c r="K283">
        <v>1.52669358253479</v>
      </c>
      <c r="L283">
        <v>1.8820933103561399</v>
      </c>
      <c r="M283">
        <v>1.4453368186950699</v>
      </c>
      <c r="N283">
        <v>0.1654069572687149</v>
      </c>
      <c r="O283">
        <v>0.34675270318984985</v>
      </c>
      <c r="P283">
        <v>1.0219684839248657</v>
      </c>
      <c r="Q283">
        <v>0.70170581340789795</v>
      </c>
      <c r="R283">
        <v>0</v>
      </c>
      <c r="S283">
        <v>0</v>
      </c>
      <c r="T283">
        <f t="shared" si="10"/>
        <v>0.17994147625393381</v>
      </c>
    </row>
    <row r="284" spans="1:20" x14ac:dyDescent="0.3">
      <c r="A284" s="4" t="s">
        <v>13</v>
      </c>
      <c r="B284" s="4">
        <v>12</v>
      </c>
      <c r="C284" s="4">
        <v>2007</v>
      </c>
      <c r="D284" s="4">
        <v>0.50759519806674003</v>
      </c>
      <c r="E284">
        <v>19.290814279032201</v>
      </c>
      <c r="F284">
        <v>13.75</v>
      </c>
      <c r="G284" s="2">
        <v>11.4</v>
      </c>
      <c r="H284">
        <v>2.1976702213287398</v>
      </c>
      <c r="I284">
        <v>1.7888873815536499</v>
      </c>
      <c r="J284">
        <v>1.4855941534042401</v>
      </c>
      <c r="K284">
        <v>1.50993680953979</v>
      </c>
      <c r="L284">
        <v>1.8277961015701301</v>
      </c>
      <c r="M284">
        <v>1.4310002326965301</v>
      </c>
      <c r="N284">
        <v>0.25095963478088379</v>
      </c>
      <c r="O284">
        <v>0.51017659902572632</v>
      </c>
      <c r="P284">
        <v>1.0219684839248657</v>
      </c>
      <c r="Q284">
        <v>0.70170581340789795</v>
      </c>
      <c r="R284">
        <v>0</v>
      </c>
      <c r="S284">
        <v>0</v>
      </c>
      <c r="T284">
        <f t="shared" si="10"/>
        <v>0.10098983488277177</v>
      </c>
    </row>
    <row r="285" spans="1:20" x14ac:dyDescent="0.3">
      <c r="A285" s="4" t="s">
        <v>13</v>
      </c>
      <c r="B285" s="4">
        <v>12</v>
      </c>
      <c r="C285" s="4">
        <v>2008</v>
      </c>
      <c r="D285" s="4">
        <v>0.66466598980723401</v>
      </c>
      <c r="E285">
        <v>20.146174779764401</v>
      </c>
      <c r="F285">
        <v>18</v>
      </c>
      <c r="G285" s="2">
        <v>14.2</v>
      </c>
      <c r="H285">
        <v>2.3272514343261701</v>
      </c>
      <c r="I285">
        <v>1.82254898548126</v>
      </c>
      <c r="J285">
        <v>1.2150238752365099</v>
      </c>
      <c r="K285">
        <v>1.31083500385284</v>
      </c>
      <c r="L285">
        <v>1.8531905412673999</v>
      </c>
      <c r="M285">
        <v>1.4256500005721999</v>
      </c>
      <c r="N285">
        <v>0.10427922755479813</v>
      </c>
      <c r="O285">
        <v>0.51406055688858032</v>
      </c>
      <c r="P285">
        <v>-1.2538762092590332</v>
      </c>
      <c r="Q285">
        <v>0.1624319851398468</v>
      </c>
      <c r="R285">
        <v>0</v>
      </c>
      <c r="S285">
        <v>0</v>
      </c>
      <c r="T285">
        <f t="shared" si="10"/>
        <v>0.30944105133130489</v>
      </c>
    </row>
    <row r="286" spans="1:20" x14ac:dyDescent="0.3">
      <c r="A286" s="4" t="s">
        <v>13</v>
      </c>
      <c r="B286" s="4">
        <v>12</v>
      </c>
      <c r="C286" s="4">
        <v>2009</v>
      </c>
      <c r="D286" s="4">
        <v>0.717815176899672</v>
      </c>
      <c r="E286">
        <v>18.987658723374501</v>
      </c>
      <c r="F286">
        <v>9.125</v>
      </c>
      <c r="G286" s="2">
        <v>7.6</v>
      </c>
      <c r="H286">
        <v>2.0315201282501198</v>
      </c>
      <c r="I286">
        <v>1.63136506080627</v>
      </c>
      <c r="J286">
        <v>1.1908872127532999</v>
      </c>
      <c r="K286">
        <v>1.0137623548507699</v>
      </c>
      <c r="L286">
        <v>1.70691537857056</v>
      </c>
      <c r="M286">
        <v>1.4152140617370601</v>
      </c>
      <c r="N286">
        <v>0.14048425853252411</v>
      </c>
      <c r="O286">
        <v>0.57051932811737061</v>
      </c>
      <c r="P286">
        <v>-1.2538762092590332</v>
      </c>
      <c r="Q286">
        <v>0.1624319851398468</v>
      </c>
      <c r="R286">
        <v>0</v>
      </c>
      <c r="S286">
        <v>0</v>
      </c>
      <c r="T286">
        <f t="shared" si="10"/>
        <v>7.9963753084240516E-2</v>
      </c>
    </row>
    <row r="287" spans="1:20" x14ac:dyDescent="0.3">
      <c r="A287" s="4" t="s">
        <v>13</v>
      </c>
      <c r="B287" s="4">
        <v>12</v>
      </c>
      <c r="C287" s="4">
        <v>2010</v>
      </c>
      <c r="D287" s="4">
        <v>0.98131344032942902</v>
      </c>
      <c r="E287">
        <v>10.2570286966843</v>
      </c>
      <c r="F287">
        <v>3.875</v>
      </c>
      <c r="G287" s="2">
        <v>3.9</v>
      </c>
      <c r="H287">
        <v>1.93496966362</v>
      </c>
      <c r="I287">
        <v>1.5804021358489999</v>
      </c>
      <c r="J287">
        <v>1.0222536325454701</v>
      </c>
      <c r="K287">
        <v>0.920679152011871</v>
      </c>
      <c r="L287">
        <v>1.70661580562592</v>
      </c>
      <c r="M287">
        <v>1.4457523822784399</v>
      </c>
      <c r="N287">
        <v>0.34777423739433289</v>
      </c>
      <c r="O287">
        <v>0.56735473871231079</v>
      </c>
      <c r="P287">
        <v>-1.2538762092590332</v>
      </c>
      <c r="Q287">
        <v>0.1624319851398468</v>
      </c>
      <c r="R287">
        <v>0</v>
      </c>
      <c r="S287">
        <v>0</v>
      </c>
      <c r="T287">
        <f t="shared" si="10"/>
        <v>0.36708371724297745</v>
      </c>
    </row>
    <row r="288" spans="1:20" x14ac:dyDescent="0.3">
      <c r="A288" s="4" t="s">
        <v>13</v>
      </c>
      <c r="B288" s="4">
        <v>12</v>
      </c>
      <c r="C288" s="4">
        <v>2011</v>
      </c>
      <c r="D288" s="4">
        <v>0.98817194568420696</v>
      </c>
      <c r="E288">
        <v>7.6980724734455697</v>
      </c>
      <c r="F288">
        <v>4.125</v>
      </c>
      <c r="G288" s="2">
        <v>3.45</v>
      </c>
      <c r="H288">
        <v>1.93282318115234</v>
      </c>
      <c r="I288">
        <v>1.5774759054184</v>
      </c>
      <c r="J288">
        <v>1.2440097332000699</v>
      </c>
      <c r="K288">
        <v>1.05194532871246</v>
      </c>
      <c r="L288">
        <v>1.6885669231414799</v>
      </c>
      <c r="M288">
        <v>1.4107296466827399</v>
      </c>
      <c r="N288">
        <v>0.33267980813980103</v>
      </c>
      <c r="O288">
        <v>0.84293484687805176</v>
      </c>
      <c r="P288">
        <v>-1.2538762092590332</v>
      </c>
      <c r="Q288">
        <v>0.1624319851398468</v>
      </c>
      <c r="R288">
        <v>0</v>
      </c>
      <c r="S288">
        <v>0</v>
      </c>
      <c r="T288">
        <f t="shared" si="10"/>
        <v>6.9891077334837369E-3</v>
      </c>
    </row>
    <row r="289" spans="1:20" x14ac:dyDescent="0.3">
      <c r="A289" s="4" t="s">
        <v>13</v>
      </c>
      <c r="B289" s="4">
        <v>12</v>
      </c>
      <c r="C289" s="4">
        <v>2012</v>
      </c>
      <c r="D289" s="4">
        <v>1.04212869508858</v>
      </c>
      <c r="E289">
        <v>8.3243387717751993</v>
      </c>
      <c r="F289">
        <v>5.375</v>
      </c>
      <c r="G289" s="2">
        <v>4.2</v>
      </c>
      <c r="H289">
        <v>1.8780314922332799</v>
      </c>
      <c r="I289">
        <v>1.4831444025039699</v>
      </c>
      <c r="J289">
        <v>1.2450320720672601</v>
      </c>
      <c r="K289">
        <v>1.1131241321563701</v>
      </c>
      <c r="L289">
        <v>1.67797338962555</v>
      </c>
      <c r="M289">
        <v>1.4429503679275499</v>
      </c>
      <c r="N289">
        <v>0.23328264057636261</v>
      </c>
      <c r="O289">
        <v>0.80697530508041382</v>
      </c>
      <c r="P289">
        <v>-1.2538762092590332</v>
      </c>
      <c r="Q289">
        <v>0.1624319851398468</v>
      </c>
      <c r="R289">
        <v>0</v>
      </c>
      <c r="S289">
        <v>0</v>
      </c>
      <c r="T289">
        <f t="shared" si="10"/>
        <v>5.4602591826277289E-2</v>
      </c>
    </row>
    <row r="290" spans="1:20" x14ac:dyDescent="0.3">
      <c r="A290" s="4" t="s">
        <v>13</v>
      </c>
      <c r="B290" s="4">
        <v>12</v>
      </c>
      <c r="C290" s="4">
        <v>2013</v>
      </c>
      <c r="D290" s="4">
        <v>1.2842056746610999</v>
      </c>
      <c r="E290">
        <v>8.1516666666666602</v>
      </c>
      <c r="F290">
        <v>5.375</v>
      </c>
      <c r="G290" s="2">
        <v>4.8499999999999996</v>
      </c>
      <c r="H290">
        <v>1.9048662185668901</v>
      </c>
      <c r="I290">
        <v>1.4829857349395801</v>
      </c>
      <c r="J290">
        <v>1.2871336936950699</v>
      </c>
      <c r="K290">
        <v>1.13294076919556</v>
      </c>
      <c r="L290">
        <v>1.6538623571395901</v>
      </c>
      <c r="M290">
        <v>1.4394714832305899</v>
      </c>
      <c r="N290">
        <v>0.27948823571205139</v>
      </c>
      <c r="O290">
        <v>0.61464411020278931</v>
      </c>
      <c r="P290">
        <v>-1.2538762092590332</v>
      </c>
      <c r="Q290">
        <v>0.1624319851398468</v>
      </c>
      <c r="R290">
        <v>0</v>
      </c>
      <c r="S290">
        <v>0</v>
      </c>
      <c r="T290">
        <f t="shared" si="10"/>
        <v>0.23229086840559901</v>
      </c>
    </row>
    <row r="291" spans="1:20" x14ac:dyDescent="0.3">
      <c r="A291" s="4" t="s">
        <v>13</v>
      </c>
      <c r="B291" s="4">
        <v>12</v>
      </c>
      <c r="C291" s="4">
        <v>2014</v>
      </c>
      <c r="D291" s="4">
        <v>1.21299248519675</v>
      </c>
      <c r="E291">
        <v>7.7424999999999997</v>
      </c>
      <c r="F291">
        <v>4.5</v>
      </c>
      <c r="G291" s="2">
        <v>4.5</v>
      </c>
      <c r="H291">
        <v>1.82364666461945</v>
      </c>
      <c r="I291">
        <v>1.48536741733551</v>
      </c>
      <c r="J291">
        <v>1.2469745874404901</v>
      </c>
      <c r="K291">
        <v>1.2128943204879801</v>
      </c>
      <c r="L291">
        <v>1.7044812440872199</v>
      </c>
      <c r="M291">
        <v>1.35721683502197</v>
      </c>
      <c r="N291">
        <v>0.60903245210647583</v>
      </c>
      <c r="O291">
        <v>0.64232224225997925</v>
      </c>
      <c r="P291">
        <v>-1.2538762092590332</v>
      </c>
      <c r="Q291">
        <v>0.1624319851398468</v>
      </c>
      <c r="R291">
        <v>0</v>
      </c>
      <c r="S291">
        <v>0</v>
      </c>
      <c r="T291">
        <f t="shared" si="10"/>
        <v>-5.5453102933175416E-2</v>
      </c>
    </row>
    <row r="292" spans="1:20" x14ac:dyDescent="0.3">
      <c r="A292" s="4" t="s">
        <v>13</v>
      </c>
      <c r="B292" s="4">
        <v>12</v>
      </c>
      <c r="C292" s="4">
        <v>2015</v>
      </c>
      <c r="D292" s="4">
        <v>1.23294860142387</v>
      </c>
      <c r="E292">
        <v>7.61</v>
      </c>
      <c r="F292">
        <v>5.75</v>
      </c>
      <c r="G292" s="2">
        <v>4.25</v>
      </c>
      <c r="H292">
        <v>1.89781582355499</v>
      </c>
      <c r="I292">
        <v>1.46093690395355</v>
      </c>
      <c r="J292">
        <v>1.2984809875488299</v>
      </c>
      <c r="K292">
        <v>1.2609771490096999</v>
      </c>
      <c r="L292">
        <v>1.63356757164001</v>
      </c>
      <c r="M292">
        <v>1.3765660524368299</v>
      </c>
      <c r="N292">
        <v>0.47483906149864197</v>
      </c>
      <c r="O292">
        <v>0.48726275563240051</v>
      </c>
      <c r="P292">
        <v>-1.2538762092590332</v>
      </c>
      <c r="Q292">
        <v>0.1624319851398468</v>
      </c>
      <c r="R292">
        <v>0</v>
      </c>
      <c r="S292">
        <v>0</v>
      </c>
      <c r="T292">
        <f t="shared" si="10"/>
        <v>1.6451970206462645E-2</v>
      </c>
    </row>
    <row r="293" spans="1:20" x14ac:dyDescent="0.3">
      <c r="A293" s="4" t="s">
        <v>13</v>
      </c>
      <c r="B293" s="4">
        <v>12</v>
      </c>
      <c r="C293" s="4">
        <v>2016</v>
      </c>
      <c r="D293" s="4">
        <v>1.0110405779646201</v>
      </c>
      <c r="E293">
        <v>8.2366666666666593</v>
      </c>
      <c r="F293">
        <v>5</v>
      </c>
      <c r="G293" s="2">
        <v>3.9</v>
      </c>
      <c r="H293">
        <v>1.9036395549774201</v>
      </c>
      <c r="I293">
        <v>1.34993553161621</v>
      </c>
      <c r="J293">
        <v>1.3465887308120701</v>
      </c>
      <c r="K293">
        <v>1.2658385038375899</v>
      </c>
      <c r="L293">
        <v>1.4831502437591599</v>
      </c>
      <c r="M293">
        <v>1.3562315702438399</v>
      </c>
      <c r="N293">
        <v>0.37914001941680908</v>
      </c>
      <c r="O293">
        <v>0.58558201789855957</v>
      </c>
      <c r="P293">
        <v>-5.7141531258821487E-2</v>
      </c>
      <c r="Q293">
        <v>0.44600480794906616</v>
      </c>
      <c r="R293">
        <v>0</v>
      </c>
      <c r="S293">
        <v>0</v>
      </c>
      <c r="T293">
        <f t="shared" si="10"/>
        <v>-0.17998156873934526</v>
      </c>
    </row>
    <row r="294" spans="1:20" x14ac:dyDescent="0.3">
      <c r="A294" s="4" t="s">
        <v>13</v>
      </c>
      <c r="B294" s="4">
        <v>12</v>
      </c>
      <c r="C294" s="4">
        <v>2017</v>
      </c>
      <c r="D294" s="4">
        <v>0.76804654192098198</v>
      </c>
      <c r="E294">
        <v>7.2558333333333298</v>
      </c>
      <c r="F294">
        <v>4.25</v>
      </c>
      <c r="G294" s="2">
        <v>3.2</v>
      </c>
      <c r="H294">
        <v>1.79464328289032</v>
      </c>
      <c r="I294">
        <v>1.41358423233032</v>
      </c>
      <c r="J294">
        <v>1.3376867771148699</v>
      </c>
      <c r="K294">
        <v>1.42314469814301</v>
      </c>
      <c r="L294">
        <v>1.57102274894714</v>
      </c>
      <c r="M294">
        <v>1.3792781829834</v>
      </c>
      <c r="N294">
        <v>0.17120316624641418</v>
      </c>
      <c r="O294">
        <v>0.39422285556793213</v>
      </c>
      <c r="P294">
        <v>1.0219684839248657</v>
      </c>
      <c r="Q294">
        <v>0.70170581340789795</v>
      </c>
      <c r="R294">
        <v>0</v>
      </c>
      <c r="S294">
        <v>0</v>
      </c>
      <c r="T294">
        <f t="shared" si="10"/>
        <v>-0.24034053760020435</v>
      </c>
    </row>
    <row r="295" spans="1:20" x14ac:dyDescent="0.3">
      <c r="A295" s="4" t="s">
        <v>13</v>
      </c>
      <c r="B295" s="4">
        <v>12</v>
      </c>
      <c r="C295" s="4">
        <v>2018</v>
      </c>
      <c r="D295" s="4">
        <v>0.66977239198441796</v>
      </c>
      <c r="E295">
        <v>6.9550000000000001</v>
      </c>
      <c r="F295">
        <v>4.5</v>
      </c>
      <c r="G295" s="2">
        <v>3.4</v>
      </c>
      <c r="H295">
        <v>1.80560302734375</v>
      </c>
      <c r="I295">
        <v>1.42581415176392</v>
      </c>
      <c r="J295">
        <v>1.3948173522949201</v>
      </c>
      <c r="K295">
        <v>1.4082456827163701</v>
      </c>
      <c r="L295">
        <v>1.6792513132095299</v>
      </c>
      <c r="M295">
        <v>1.3895735740661601</v>
      </c>
      <c r="N295">
        <v>0.26587760448455811</v>
      </c>
      <c r="O295">
        <v>0.34302550554275513</v>
      </c>
      <c r="P295">
        <v>1.0219684839248657</v>
      </c>
      <c r="Q295">
        <v>0.70170581340789795</v>
      </c>
      <c r="R295">
        <v>0</v>
      </c>
      <c r="S295">
        <v>0</v>
      </c>
      <c r="T295">
        <f t="shared" si="10"/>
        <v>-0.12795337856839756</v>
      </c>
    </row>
    <row r="296" spans="1:20" x14ac:dyDescent="0.3">
      <c r="A296" s="4" t="s">
        <v>13</v>
      </c>
      <c r="B296" s="4">
        <v>12</v>
      </c>
      <c r="C296" s="4">
        <v>2019</v>
      </c>
      <c r="D296" s="4">
        <v>0.75197331321827598</v>
      </c>
      <c r="E296">
        <v>6.9499999999999904</v>
      </c>
      <c r="F296">
        <v>3</v>
      </c>
      <c r="G296" s="2">
        <v>2.8</v>
      </c>
      <c r="H296">
        <v>1.67063760757446</v>
      </c>
      <c r="I296">
        <v>1.4820349216461199</v>
      </c>
      <c r="J296">
        <v>1.61980617046356</v>
      </c>
      <c r="K296">
        <v>1.3629900217056301</v>
      </c>
      <c r="L296">
        <v>1.7263261079788199</v>
      </c>
      <c r="M296">
        <v>1.30241823196411</v>
      </c>
      <c r="N296">
        <v>0.27496239542961121</v>
      </c>
      <c r="O296">
        <v>0.20040753483772278</v>
      </c>
      <c r="P296">
        <v>1.2737407684326172</v>
      </c>
      <c r="Q296">
        <v>0.7613646388053894</v>
      </c>
      <c r="R296">
        <v>0</v>
      </c>
      <c r="S296">
        <v>0</v>
      </c>
      <c r="T296">
        <f t="shared" si="10"/>
        <v>0.12272963504857394</v>
      </c>
    </row>
    <row r="297" spans="1:20" x14ac:dyDescent="0.3">
      <c r="A297" s="4" t="s">
        <v>13</v>
      </c>
      <c r="B297" s="4">
        <v>12</v>
      </c>
      <c r="C297" s="4">
        <v>2020</v>
      </c>
      <c r="D297" s="4">
        <v>0.75955711771807299</v>
      </c>
      <c r="E297">
        <v>5.7587124121722901</v>
      </c>
      <c r="F297">
        <v>0.75</v>
      </c>
      <c r="G297" s="2">
        <v>1.1499999999999999</v>
      </c>
      <c r="H297">
        <v>1.6668643951416</v>
      </c>
      <c r="I297">
        <v>1.47592997550964</v>
      </c>
      <c r="J297">
        <v>1.3750315904617301</v>
      </c>
      <c r="K297">
        <v>1.4430121183395399</v>
      </c>
      <c r="L297">
        <v>1.75022161006927</v>
      </c>
      <c r="M297">
        <v>1.3817541599273699</v>
      </c>
      <c r="N297">
        <v>0.18540121614933014</v>
      </c>
      <c r="O297">
        <v>0.12088902294635773</v>
      </c>
      <c r="P297">
        <v>1.5255131721496582</v>
      </c>
      <c r="Q297">
        <v>0.82102346420288086</v>
      </c>
      <c r="R297">
        <v>0</v>
      </c>
      <c r="S297">
        <v>0</v>
      </c>
      <c r="T297">
        <f t="shared" si="10"/>
        <v>1.0085204310429632E-2</v>
      </c>
    </row>
    <row r="298" spans="1:20" x14ac:dyDescent="0.3">
      <c r="A298" s="4" t="s">
        <v>13</v>
      </c>
      <c r="B298" s="4">
        <v>12</v>
      </c>
      <c r="C298" s="4">
        <v>2021</v>
      </c>
      <c r="D298" s="4">
        <v>0.73686487544574997</v>
      </c>
      <c r="E298">
        <v>5.4041574983176099</v>
      </c>
      <c r="F298">
        <v>2</v>
      </c>
      <c r="G298" s="2">
        <v>0.95</v>
      </c>
      <c r="H298">
        <v>1.76012051105499</v>
      </c>
      <c r="I298">
        <v>1.59388387203217</v>
      </c>
      <c r="J298">
        <v>1.37235331535339</v>
      </c>
      <c r="K298">
        <v>1.52774238586426</v>
      </c>
      <c r="L298">
        <v>1.7126334905624401</v>
      </c>
      <c r="M298">
        <v>1.3626396656036399</v>
      </c>
      <c r="N298">
        <v>0.25531688034534455</v>
      </c>
      <c r="O298">
        <v>0.32882538735866546</v>
      </c>
      <c r="P298">
        <v>1.7772855758666992</v>
      </c>
      <c r="Q298">
        <v>0.88068228960037231</v>
      </c>
      <c r="R298">
        <v>0</v>
      </c>
      <c r="S298">
        <v>0</v>
      </c>
      <c r="T298">
        <f t="shared" si="10"/>
        <v>-2.987562323225542E-2</v>
      </c>
    </row>
    <row r="299" spans="1:20" x14ac:dyDescent="0.3">
      <c r="A299" s="4" t="s">
        <v>13</v>
      </c>
      <c r="B299" s="4">
        <v>12</v>
      </c>
      <c r="C299" s="4">
        <v>2022</v>
      </c>
      <c r="D299" s="4">
        <v>0.667749932634084</v>
      </c>
      <c r="E299">
        <v>7.5973007537032498</v>
      </c>
      <c r="F299">
        <v>6</v>
      </c>
      <c r="G299" s="2">
        <v>4.0999999999999996</v>
      </c>
      <c r="H299">
        <v>1.56749963760376</v>
      </c>
      <c r="I299">
        <v>1.5629870891571001</v>
      </c>
      <c r="J299">
        <v>1.24969923496246</v>
      </c>
      <c r="K299">
        <v>1.30729651451111</v>
      </c>
      <c r="L299">
        <v>1.7029050588607799</v>
      </c>
      <c r="M299">
        <v>1.4274594783782999</v>
      </c>
      <c r="N299">
        <v>0.23055225253105163</v>
      </c>
      <c r="O299">
        <v>0.27747406125068663</v>
      </c>
      <c r="P299">
        <v>2.0290579795837402</v>
      </c>
      <c r="Q299">
        <v>0.94034117460250854</v>
      </c>
      <c r="R299">
        <v>0</v>
      </c>
      <c r="S299">
        <v>0</v>
      </c>
      <c r="T299">
        <f t="shared" si="10"/>
        <v>-9.3795952439524849E-2</v>
      </c>
    </row>
    <row r="300" spans="1:20" x14ac:dyDescent="0.3">
      <c r="A300" s="4" t="s">
        <v>13</v>
      </c>
      <c r="B300" s="4">
        <v>12</v>
      </c>
      <c r="C300" s="4">
        <v>2023</v>
      </c>
      <c r="D300" s="4">
        <v>0.69721331181788604</v>
      </c>
      <c r="E300">
        <v>11.5309721139304</v>
      </c>
      <c r="F300">
        <v>9.25</v>
      </c>
      <c r="G300" s="2">
        <v>7.85</v>
      </c>
      <c r="H300">
        <v>1.5513061285018901</v>
      </c>
      <c r="I300">
        <v>1.55512094497681</v>
      </c>
      <c r="J300">
        <v>1.2144037485122701</v>
      </c>
      <c r="K300">
        <v>1.2844438552856401</v>
      </c>
      <c r="L300">
        <v>1.7211176156997701</v>
      </c>
      <c r="M300">
        <v>1.44590175151825</v>
      </c>
      <c r="N300">
        <v>0.24242206978797914</v>
      </c>
      <c r="O300">
        <v>0.2541243023872376</v>
      </c>
      <c r="P300">
        <v>2.2808303833007813</v>
      </c>
      <c r="Q300">
        <v>1</v>
      </c>
      <c r="R300">
        <v>0</v>
      </c>
      <c r="S300">
        <v>0</v>
      </c>
      <c r="T300">
        <f t="shared" si="10"/>
        <v>4.4123372753595604E-2</v>
      </c>
    </row>
    <row r="301" spans="1:20" x14ac:dyDescent="0.3">
      <c r="A301" s="4" t="s">
        <v>13</v>
      </c>
      <c r="B301" s="4">
        <v>12</v>
      </c>
      <c r="C301" s="4">
        <v>2024</v>
      </c>
      <c r="D301" s="4">
        <v>0.73996276808676198</v>
      </c>
      <c r="E301">
        <v>12.457376640313401</v>
      </c>
      <c r="F301">
        <v>8.5</v>
      </c>
      <c r="G301" s="2">
        <v>7.1</v>
      </c>
      <c r="H301">
        <v>1.6432856559753399</v>
      </c>
      <c r="I301">
        <v>1.533991360664368</v>
      </c>
      <c r="J301">
        <v>1.366258811950682</v>
      </c>
      <c r="K301">
        <v>1.385096979141236</v>
      </c>
      <c r="L301">
        <v>1.722640776634216</v>
      </c>
      <c r="M301">
        <v>1.384034657478334</v>
      </c>
      <c r="N301">
        <v>0.23773096284866332</v>
      </c>
      <c r="O301">
        <v>0.23634406175613404</v>
      </c>
      <c r="P301">
        <v>2.2808303833007813</v>
      </c>
      <c r="Q301">
        <v>1</v>
      </c>
      <c r="R301">
        <v>0</v>
      </c>
      <c r="S301">
        <v>0</v>
      </c>
      <c r="T301">
        <f t="shared" si="10"/>
        <v>6.1314744776476977E-2</v>
      </c>
    </row>
    <row r="302" spans="1:20" x14ac:dyDescent="0.3">
      <c r="A302" s="4" t="s">
        <v>12</v>
      </c>
      <c r="B302" s="4">
        <v>13</v>
      </c>
      <c r="C302" s="4">
        <v>2000</v>
      </c>
      <c r="D302" s="4">
        <v>0.15773596584244601</v>
      </c>
      <c r="E302" s="2">
        <v>8.52</v>
      </c>
      <c r="F302">
        <v>9</v>
      </c>
      <c r="G302" s="2">
        <v>4.95</v>
      </c>
      <c r="H302">
        <v>2.1233496665954599</v>
      </c>
      <c r="I302">
        <v>1.81612300872803</v>
      </c>
      <c r="J302">
        <v>1.5332829952239999</v>
      </c>
      <c r="K302">
        <v>1.1074413061142001</v>
      </c>
      <c r="L302">
        <v>1.8308755159378101</v>
      </c>
      <c r="M302">
        <v>1.5260092020034799</v>
      </c>
      <c r="N302">
        <v>0.38027134537696838</v>
      </c>
      <c r="O302">
        <v>0.14796026051044464</v>
      </c>
      <c r="P302">
        <v>2.2808303833007813</v>
      </c>
      <c r="Q302">
        <v>1</v>
      </c>
      <c r="R302">
        <v>0</v>
      </c>
      <c r="S302">
        <v>0</v>
      </c>
    </row>
    <row r="303" spans="1:20" x14ac:dyDescent="0.3">
      <c r="A303" s="4" t="s">
        <v>12</v>
      </c>
      <c r="B303" s="4">
        <v>13</v>
      </c>
      <c r="C303" s="4">
        <v>2001</v>
      </c>
      <c r="D303" s="4">
        <v>0.16010802908654301</v>
      </c>
      <c r="E303" s="2">
        <v>8.81</v>
      </c>
      <c r="F303">
        <v>6.5</v>
      </c>
      <c r="G303" s="2">
        <v>5.3</v>
      </c>
      <c r="H303">
        <v>2.11916208267212</v>
      </c>
      <c r="I303">
        <v>1.8249226808548</v>
      </c>
      <c r="J303">
        <v>1.5708145499229449</v>
      </c>
      <c r="K303">
        <v>1.1640776395797752</v>
      </c>
      <c r="L303">
        <v>1.8398142457008402</v>
      </c>
      <c r="M303">
        <v>1.50659203529358</v>
      </c>
      <c r="N303">
        <v>0.44426771998405457</v>
      </c>
      <c r="O303">
        <v>0.22456644475460052</v>
      </c>
      <c r="P303">
        <v>2.2808303833007813</v>
      </c>
      <c r="Q303">
        <v>1</v>
      </c>
      <c r="R303">
        <v>0</v>
      </c>
      <c r="S303">
        <v>0</v>
      </c>
      <c r="T303">
        <f>((D303-D302)/D302)</f>
        <v>1.5038188858375691E-2</v>
      </c>
    </row>
    <row r="304" spans="1:20" x14ac:dyDescent="0.3">
      <c r="A304" s="4" t="s">
        <v>12</v>
      </c>
      <c r="B304" s="4">
        <v>13</v>
      </c>
      <c r="C304" s="4">
        <v>2002</v>
      </c>
      <c r="D304" s="4">
        <v>0.16978538888262101</v>
      </c>
      <c r="E304" s="2">
        <v>8.6499999999999986</v>
      </c>
      <c r="F304">
        <v>6.5</v>
      </c>
      <c r="G304" s="2">
        <v>5.45</v>
      </c>
      <c r="H304">
        <v>2.1149744987487802</v>
      </c>
      <c r="I304">
        <v>1.83372235298157</v>
      </c>
      <c r="J304">
        <v>1.6083461046218901</v>
      </c>
      <c r="K304">
        <v>1.22071397304535</v>
      </c>
      <c r="L304">
        <v>1.8487529754638701</v>
      </c>
      <c r="M304">
        <v>1.4871748685836801</v>
      </c>
      <c r="N304">
        <v>0.48108246922492981</v>
      </c>
      <c r="O304">
        <v>0.22512622177600861</v>
      </c>
      <c r="P304">
        <v>2.2808303833007813</v>
      </c>
      <c r="Q304">
        <v>1</v>
      </c>
      <c r="R304">
        <v>0</v>
      </c>
      <c r="S304">
        <v>0</v>
      </c>
      <c r="T304">
        <f t="shared" ref="T304:T326" si="11">((D304-D303)/D303)</f>
        <v>6.0442688922534384E-2</v>
      </c>
    </row>
    <row r="305" spans="1:20" x14ac:dyDescent="0.3">
      <c r="A305" s="4" t="s">
        <v>12</v>
      </c>
      <c r="B305" s="4">
        <v>13</v>
      </c>
      <c r="C305" s="4">
        <v>2003</v>
      </c>
      <c r="D305" s="4">
        <v>0.17076085298632199</v>
      </c>
      <c r="E305" s="2">
        <v>5.4399999999999995</v>
      </c>
      <c r="F305">
        <v>2.25</v>
      </c>
      <c r="G305" s="2">
        <v>2.8</v>
      </c>
      <c r="H305">
        <v>2.0109665393829301</v>
      </c>
      <c r="I305">
        <v>1.8341208696365401</v>
      </c>
      <c r="J305">
        <v>1.20455622673035</v>
      </c>
      <c r="K305">
        <v>1.3075689077377299</v>
      </c>
      <c r="L305">
        <v>1.88110423088074</v>
      </c>
      <c r="M305">
        <v>1.52924609184265</v>
      </c>
      <c r="N305">
        <v>0.26924055814743042</v>
      </c>
      <c r="O305">
        <v>0.4116465151309967</v>
      </c>
      <c r="P305">
        <v>2.2808303833007813</v>
      </c>
      <c r="Q305">
        <v>1</v>
      </c>
      <c r="R305">
        <v>0</v>
      </c>
      <c r="S305">
        <v>0</v>
      </c>
      <c r="T305">
        <f t="shared" si="11"/>
        <v>5.7452770825606701E-3</v>
      </c>
    </row>
    <row r="306" spans="1:20" x14ac:dyDescent="0.3">
      <c r="A306" s="4" t="s">
        <v>12</v>
      </c>
      <c r="B306" s="4">
        <v>13</v>
      </c>
      <c r="C306" s="4">
        <v>2004</v>
      </c>
      <c r="D306" s="4">
        <v>0.175283599088909</v>
      </c>
      <c r="E306" s="2">
        <v>3.7800000000000002</v>
      </c>
      <c r="F306">
        <v>1.75</v>
      </c>
      <c r="G306" s="2">
        <v>1.8</v>
      </c>
      <c r="H306">
        <v>1.9128645658493</v>
      </c>
      <c r="I306">
        <v>2.05889225006104</v>
      </c>
      <c r="J306">
        <v>1.1966183185577399</v>
      </c>
      <c r="K306">
        <v>1.4392406940460201</v>
      </c>
      <c r="L306">
        <v>1.96196269989014</v>
      </c>
      <c r="M306">
        <v>1.7042089700698899</v>
      </c>
      <c r="N306">
        <v>0.31149214506149292</v>
      </c>
      <c r="O306">
        <v>0.30823826789855957</v>
      </c>
      <c r="P306">
        <v>2.2808303833007813</v>
      </c>
      <c r="Q306">
        <v>1</v>
      </c>
      <c r="R306">
        <v>0</v>
      </c>
      <c r="S306">
        <v>0</v>
      </c>
      <c r="T306">
        <f t="shared" si="11"/>
        <v>2.6485848620990959E-2</v>
      </c>
    </row>
    <row r="307" spans="1:20" x14ac:dyDescent="0.3">
      <c r="A307" s="4" t="s">
        <v>12</v>
      </c>
      <c r="B307" s="4">
        <v>13</v>
      </c>
      <c r="C307" s="4">
        <v>2005</v>
      </c>
      <c r="D307" s="4">
        <v>0.163004303533648</v>
      </c>
      <c r="E307" s="2">
        <v>3.82</v>
      </c>
      <c r="F307">
        <v>2.25</v>
      </c>
      <c r="G307" s="2">
        <v>1.85</v>
      </c>
      <c r="H307">
        <v>2.0002527236938499</v>
      </c>
      <c r="I307">
        <v>1.8591334819793699</v>
      </c>
      <c r="J307">
        <v>1.29527723789215</v>
      </c>
      <c r="K307">
        <v>1.4785023927688601</v>
      </c>
      <c r="L307">
        <v>1.91248178482056</v>
      </c>
      <c r="M307">
        <v>1.6405930519103999</v>
      </c>
      <c r="N307">
        <v>0.45277392864227295</v>
      </c>
      <c r="O307">
        <v>0.30392864346504211</v>
      </c>
      <c r="P307">
        <v>2.2808303833007813</v>
      </c>
      <c r="Q307">
        <v>1</v>
      </c>
      <c r="R307">
        <v>0</v>
      </c>
      <c r="S307">
        <v>0</v>
      </c>
      <c r="T307">
        <f t="shared" si="11"/>
        <v>-7.0053876227362144E-2</v>
      </c>
    </row>
    <row r="308" spans="1:20" x14ac:dyDescent="0.3">
      <c r="A308" s="4" t="s">
        <v>12</v>
      </c>
      <c r="B308" s="4">
        <v>13</v>
      </c>
      <c r="C308" s="4">
        <v>2006</v>
      </c>
      <c r="D308" s="4">
        <v>0.15243873994782101</v>
      </c>
      <c r="E308" s="2">
        <v>4.25</v>
      </c>
      <c r="F308">
        <v>3.5</v>
      </c>
      <c r="G308" s="2">
        <v>2.4</v>
      </c>
      <c r="H308">
        <v>2.1235532760620099</v>
      </c>
      <c r="I308">
        <v>1.87561547756195</v>
      </c>
      <c r="J308">
        <v>1.2527056932449301</v>
      </c>
      <c r="K308">
        <v>1.22095274925232</v>
      </c>
      <c r="L308">
        <v>1.9657721519470199</v>
      </c>
      <c r="M308">
        <v>1.54217982292175</v>
      </c>
      <c r="N308">
        <v>0.36515861749649048</v>
      </c>
      <c r="O308">
        <v>0.10556941479444504</v>
      </c>
      <c r="P308">
        <v>2.2808303833007813</v>
      </c>
      <c r="Q308">
        <v>1</v>
      </c>
      <c r="R308">
        <v>0</v>
      </c>
      <c r="S308">
        <v>0</v>
      </c>
      <c r="T308">
        <f t="shared" si="11"/>
        <v>-6.4817697182123851E-2</v>
      </c>
    </row>
    <row r="309" spans="1:20" x14ac:dyDescent="0.3">
      <c r="A309" s="4" t="s">
        <v>12</v>
      </c>
      <c r="B309" s="4">
        <v>13</v>
      </c>
      <c r="C309" s="4">
        <v>2007</v>
      </c>
      <c r="D309" s="4">
        <v>0.15315704378645201</v>
      </c>
      <c r="E309" s="2">
        <v>5.74</v>
      </c>
      <c r="F309">
        <v>5.25</v>
      </c>
      <c r="G309" s="2">
        <v>3.8</v>
      </c>
      <c r="H309">
        <v>1.9825838804245</v>
      </c>
      <c r="I309">
        <v>2.0180430412292498</v>
      </c>
      <c r="J309">
        <v>1.14555251598358</v>
      </c>
      <c r="K309">
        <v>1.3297703266143801</v>
      </c>
      <c r="L309">
        <v>1.9282920360565201</v>
      </c>
      <c r="M309">
        <v>1.54985499382019</v>
      </c>
      <c r="N309">
        <v>0.38983911275863647</v>
      </c>
      <c r="O309">
        <v>8.0869473516941071E-2</v>
      </c>
      <c r="P309">
        <v>2.2808303833007813</v>
      </c>
      <c r="Q309">
        <v>1</v>
      </c>
      <c r="R309">
        <v>0</v>
      </c>
      <c r="S309">
        <v>0</v>
      </c>
      <c r="T309">
        <f t="shared" si="11"/>
        <v>4.712081973892418E-3</v>
      </c>
    </row>
    <row r="310" spans="1:20" x14ac:dyDescent="0.3">
      <c r="A310" s="4" t="s">
        <v>12</v>
      </c>
      <c r="B310" s="4">
        <v>13</v>
      </c>
      <c r="C310" s="4">
        <v>2008</v>
      </c>
      <c r="D310" s="4">
        <v>0.147331703367379</v>
      </c>
      <c r="E310" s="2">
        <v>7.1499999999999995</v>
      </c>
      <c r="F310">
        <v>3</v>
      </c>
      <c r="G310" s="2">
        <v>4.75</v>
      </c>
      <c r="H310">
        <v>1.8918757438659699</v>
      </c>
      <c r="I310">
        <v>1.83281362056732</v>
      </c>
      <c r="J310">
        <v>1.28543448448181</v>
      </c>
      <c r="K310">
        <v>1.3729007244110101</v>
      </c>
      <c r="L310">
        <v>1.95778656005859</v>
      </c>
      <c r="M310">
        <v>1.54803907871246</v>
      </c>
      <c r="N310">
        <v>0.2440960556268692</v>
      </c>
      <c r="O310">
        <v>8.3078019320964813E-2</v>
      </c>
      <c r="P310">
        <v>2.2808303833007813</v>
      </c>
      <c r="Q310">
        <v>1</v>
      </c>
      <c r="R310">
        <v>0</v>
      </c>
      <c r="S310">
        <v>0</v>
      </c>
      <c r="T310">
        <f t="shared" si="11"/>
        <v>-3.8035080039774898E-2</v>
      </c>
    </row>
    <row r="311" spans="1:20" x14ac:dyDescent="0.3">
      <c r="A311" s="4" t="s">
        <v>12</v>
      </c>
      <c r="B311" s="4">
        <v>13</v>
      </c>
      <c r="C311" s="4">
        <v>2009</v>
      </c>
      <c r="D311" s="4">
        <v>0.162760227235558</v>
      </c>
      <c r="E311" s="2">
        <v>4.22</v>
      </c>
      <c r="F311">
        <v>1.75</v>
      </c>
      <c r="G311" s="2">
        <v>2.1</v>
      </c>
      <c r="H311">
        <v>1.9849834442138701</v>
      </c>
      <c r="I311">
        <v>1.8376095294952399</v>
      </c>
      <c r="J311">
        <v>1.27653253078461</v>
      </c>
      <c r="K311">
        <v>1.4649510383605999</v>
      </c>
      <c r="L311">
        <v>1.8734991550445601</v>
      </c>
      <c r="M311">
        <v>1.5488793849945099</v>
      </c>
      <c r="N311">
        <v>0.25317034125328064</v>
      </c>
      <c r="O311">
        <v>0.11934363842010498</v>
      </c>
      <c r="P311">
        <v>2.2808303833007813</v>
      </c>
      <c r="Q311">
        <v>1</v>
      </c>
      <c r="R311">
        <v>0</v>
      </c>
      <c r="S311">
        <v>0</v>
      </c>
      <c r="T311">
        <f t="shared" si="11"/>
        <v>0.10471964631880487</v>
      </c>
    </row>
    <row r="312" spans="1:20" x14ac:dyDescent="0.3">
      <c r="A312" s="4" t="s">
        <v>12</v>
      </c>
      <c r="B312" s="4">
        <v>13</v>
      </c>
      <c r="C312" s="4">
        <v>2010</v>
      </c>
      <c r="D312" s="4">
        <v>0.15774693384071201</v>
      </c>
      <c r="E312" s="2">
        <v>4.08</v>
      </c>
      <c r="F312">
        <v>2</v>
      </c>
      <c r="G312" s="2">
        <v>1.95</v>
      </c>
      <c r="H312">
        <v>2.0772521495819101</v>
      </c>
      <c r="I312">
        <v>1.8735424280166599</v>
      </c>
      <c r="J312">
        <v>1.3323115110397299</v>
      </c>
      <c r="K312">
        <v>1.5119845867157</v>
      </c>
      <c r="L312">
        <v>1.88987576961517</v>
      </c>
      <c r="M312">
        <v>1.59508776664734</v>
      </c>
      <c r="N312">
        <v>0.33567500114440918</v>
      </c>
      <c r="O312">
        <v>0.11534006148576736</v>
      </c>
      <c r="P312">
        <v>2.2808303833007813</v>
      </c>
      <c r="Q312">
        <v>1</v>
      </c>
      <c r="R312">
        <v>0</v>
      </c>
      <c r="S312">
        <v>0</v>
      </c>
      <c r="T312">
        <f t="shared" si="11"/>
        <v>-3.0801710466958256E-2</v>
      </c>
    </row>
    <row r="313" spans="1:20" x14ac:dyDescent="0.3">
      <c r="A313" s="4" t="s">
        <v>12</v>
      </c>
      <c r="B313" s="4">
        <v>13</v>
      </c>
      <c r="C313" s="4">
        <v>2011</v>
      </c>
      <c r="D313" s="4">
        <v>0.15258364272816</v>
      </c>
      <c r="E313" s="2">
        <v>4.26</v>
      </c>
      <c r="F313">
        <v>1.75</v>
      </c>
      <c r="G313" s="2">
        <v>2.25</v>
      </c>
      <c r="H313">
        <v>2.14263248443604</v>
      </c>
      <c r="I313">
        <v>1.8317123651504501</v>
      </c>
      <c r="J313">
        <v>1.3379769325256301</v>
      </c>
      <c r="K313">
        <v>1.6029695272445701</v>
      </c>
      <c r="L313">
        <v>1.8641780614852901</v>
      </c>
      <c r="M313">
        <v>1.6263580322265601</v>
      </c>
      <c r="N313">
        <v>0.37834423780441284</v>
      </c>
      <c r="O313">
        <v>0.1733560711145401</v>
      </c>
      <c r="P313">
        <v>2.2808303833007813</v>
      </c>
      <c r="Q313">
        <v>1</v>
      </c>
      <c r="R313">
        <v>0</v>
      </c>
      <c r="S313">
        <v>0</v>
      </c>
      <c r="T313">
        <f t="shared" si="11"/>
        <v>-3.2731483185376789E-2</v>
      </c>
    </row>
    <row r="314" spans="1:20" x14ac:dyDescent="0.3">
      <c r="A314" s="4" t="s">
        <v>12</v>
      </c>
      <c r="B314" s="4">
        <v>13</v>
      </c>
      <c r="C314" s="4">
        <v>2012</v>
      </c>
      <c r="D314" s="4">
        <v>0.14948009307152799</v>
      </c>
      <c r="E314" s="2">
        <v>4.22</v>
      </c>
      <c r="F314">
        <v>1.5</v>
      </c>
      <c r="G314" s="2">
        <v>2.35</v>
      </c>
      <c r="H314">
        <v>2.2479822635650599</v>
      </c>
      <c r="I314">
        <v>1.8999354839325</v>
      </c>
      <c r="J314">
        <v>1.32746982574463</v>
      </c>
      <c r="K314">
        <v>1.53973925113678</v>
      </c>
      <c r="L314">
        <v>1.9510310888290401</v>
      </c>
      <c r="M314">
        <v>1.7281632423400899</v>
      </c>
      <c r="N314">
        <v>0.37935850024223328</v>
      </c>
      <c r="O314">
        <v>0.19179642200469971</v>
      </c>
      <c r="P314">
        <v>2.2808303833007813</v>
      </c>
      <c r="Q314">
        <v>1</v>
      </c>
      <c r="R314">
        <v>0</v>
      </c>
      <c r="S314">
        <v>0</v>
      </c>
      <c r="T314">
        <f t="shared" si="11"/>
        <v>-2.0339989275005268E-2</v>
      </c>
    </row>
    <row r="315" spans="1:20" x14ac:dyDescent="0.3">
      <c r="A315" s="4" t="s">
        <v>12</v>
      </c>
      <c r="B315" s="4">
        <v>13</v>
      </c>
      <c r="C315" s="4">
        <v>2013</v>
      </c>
      <c r="D315" s="4">
        <v>0.15046310321312101</v>
      </c>
      <c r="E315">
        <v>4.3499999999999996</v>
      </c>
      <c r="F315">
        <v>1.5</v>
      </c>
      <c r="G315">
        <v>2.19</v>
      </c>
      <c r="H315">
        <v>2.2869284152984601</v>
      </c>
      <c r="I315">
        <v>1.8767670392990099</v>
      </c>
      <c r="J315">
        <v>1.3520919084548999</v>
      </c>
      <c r="K315">
        <v>1.6574110984802199</v>
      </c>
      <c r="L315">
        <v>1.97096431255341</v>
      </c>
      <c r="M315">
        <v>1.73790335655212</v>
      </c>
      <c r="N315">
        <v>0.41756641864776611</v>
      </c>
      <c r="O315">
        <v>0.2737114429473877</v>
      </c>
      <c r="P315">
        <v>2.2808303833007813</v>
      </c>
      <c r="Q315">
        <v>1</v>
      </c>
      <c r="R315">
        <v>0</v>
      </c>
      <c r="S315">
        <v>0</v>
      </c>
      <c r="T315">
        <f t="shared" si="11"/>
        <v>6.5761943372796769E-3</v>
      </c>
    </row>
    <row r="316" spans="1:20" x14ac:dyDescent="0.3">
      <c r="A316" s="4" t="s">
        <v>12</v>
      </c>
      <c r="B316" s="4">
        <v>13</v>
      </c>
      <c r="C316" s="4">
        <v>2014</v>
      </c>
      <c r="D316" s="4">
        <v>0.15146349389852501</v>
      </c>
      <c r="E316">
        <v>4.2116666666666598</v>
      </c>
      <c r="F316">
        <v>1.25</v>
      </c>
      <c r="G316">
        <v>2.0716666666666601</v>
      </c>
      <c r="H316">
        <v>2.2226829528808598</v>
      </c>
      <c r="I316">
        <v>1.8217037916183501</v>
      </c>
      <c r="J316">
        <v>1.1199585199356099</v>
      </c>
      <c r="K316">
        <v>1.6405822038650499</v>
      </c>
      <c r="L316">
        <v>2.0243148803710902</v>
      </c>
      <c r="M316">
        <v>1.68400382995605</v>
      </c>
      <c r="N316">
        <v>0.29102021455764771</v>
      </c>
      <c r="O316">
        <v>0.23893006145954132</v>
      </c>
      <c r="P316">
        <v>2.2808303833007813</v>
      </c>
      <c r="Q316">
        <v>1</v>
      </c>
      <c r="R316">
        <v>0</v>
      </c>
      <c r="S316">
        <v>0</v>
      </c>
      <c r="T316">
        <f t="shared" si="11"/>
        <v>6.6487442039993962E-3</v>
      </c>
    </row>
    <row r="317" spans="1:20" x14ac:dyDescent="0.3">
      <c r="A317" s="4" t="s">
        <v>12</v>
      </c>
      <c r="B317" s="4">
        <v>13</v>
      </c>
      <c r="C317" s="4">
        <v>2015</v>
      </c>
      <c r="D317" s="4">
        <v>0.15687943565725701</v>
      </c>
      <c r="E317">
        <v>3.5</v>
      </c>
      <c r="F317">
        <v>0.75</v>
      </c>
      <c r="G317">
        <v>1.3133333333333299</v>
      </c>
      <c r="H317">
        <v>2.2002930641174299</v>
      </c>
      <c r="I317">
        <v>1.8330682516098</v>
      </c>
      <c r="J317">
        <v>1.1456201076507599</v>
      </c>
      <c r="K317">
        <v>1.5946509838104199</v>
      </c>
      <c r="L317">
        <v>1.9752500057220499</v>
      </c>
      <c r="M317">
        <v>1.68808364868164</v>
      </c>
      <c r="N317">
        <v>0.26222306489944458</v>
      </c>
      <c r="O317">
        <v>0.15471653640270233</v>
      </c>
      <c r="P317">
        <v>2.2808303833007813</v>
      </c>
      <c r="Q317">
        <v>1</v>
      </c>
      <c r="R317">
        <v>0</v>
      </c>
      <c r="S317">
        <v>0</v>
      </c>
      <c r="T317">
        <f t="shared" si="11"/>
        <v>3.5757406747532736E-2</v>
      </c>
    </row>
    <row r="318" spans="1:20" x14ac:dyDescent="0.3">
      <c r="A318" s="4" t="s">
        <v>12</v>
      </c>
      <c r="B318" s="4">
        <v>13</v>
      </c>
      <c r="C318" s="4">
        <v>2016</v>
      </c>
      <c r="D318" s="4">
        <v>0.160011611284471</v>
      </c>
      <c r="E318">
        <v>3.07</v>
      </c>
      <c r="F318">
        <v>0.5</v>
      </c>
      <c r="G318">
        <v>0.76166666666666605</v>
      </c>
      <c r="H318">
        <v>2.1495046615600599</v>
      </c>
      <c r="I318">
        <v>1.8323664665222199</v>
      </c>
      <c r="J318">
        <v>1.1816209554672199</v>
      </c>
      <c r="K318">
        <v>1.6863489151001001</v>
      </c>
      <c r="L318">
        <v>1.99445748329163</v>
      </c>
      <c r="M318">
        <v>1.6654537916183501</v>
      </c>
      <c r="N318">
        <v>0.35844171047210693</v>
      </c>
      <c r="O318">
        <v>0.26127919554710388</v>
      </c>
      <c r="P318">
        <v>2.2808303833007813</v>
      </c>
      <c r="Q318">
        <v>1</v>
      </c>
      <c r="R318">
        <v>0</v>
      </c>
      <c r="S318">
        <v>0</v>
      </c>
      <c r="T318">
        <f t="shared" si="11"/>
        <v>1.9965495248574348E-2</v>
      </c>
    </row>
    <row r="319" spans="1:20" x14ac:dyDescent="0.3">
      <c r="A319" s="4" t="s">
        <v>12</v>
      </c>
      <c r="B319" s="4">
        <v>13</v>
      </c>
      <c r="C319" s="4">
        <v>2017</v>
      </c>
      <c r="D319" s="4">
        <v>0.15327535837744599</v>
      </c>
      <c r="E319">
        <v>3.0058333333333298</v>
      </c>
      <c r="F319">
        <v>0.5</v>
      </c>
      <c r="G319">
        <v>0.72333333333333305</v>
      </c>
      <c r="H319">
        <v>2.19124555587769</v>
      </c>
      <c r="I319">
        <v>1.94444799423218</v>
      </c>
      <c r="J319">
        <v>1.15070176124573</v>
      </c>
      <c r="K319">
        <v>1.80552613735199</v>
      </c>
      <c r="L319">
        <v>1.98068571090698</v>
      </c>
      <c r="M319">
        <v>1.6947834491729701</v>
      </c>
      <c r="N319">
        <v>0.36127036809921265</v>
      </c>
      <c r="O319">
        <v>0.36677905917167664</v>
      </c>
      <c r="P319">
        <v>2.2808303833007813</v>
      </c>
      <c r="Q319">
        <v>1</v>
      </c>
      <c r="R319">
        <v>0</v>
      </c>
      <c r="S319">
        <v>0</v>
      </c>
      <c r="T319">
        <f t="shared" si="11"/>
        <v>-4.2098525556681005E-2</v>
      </c>
    </row>
    <row r="320" spans="1:20" x14ac:dyDescent="0.3">
      <c r="A320" s="4" t="s">
        <v>12</v>
      </c>
      <c r="B320" s="4">
        <v>13</v>
      </c>
      <c r="C320" s="4">
        <v>2018</v>
      </c>
      <c r="D320" s="4">
        <v>0.14651291379630399</v>
      </c>
      <c r="E320">
        <v>2.9258333333333302</v>
      </c>
      <c r="F320">
        <v>0.75</v>
      </c>
      <c r="G320">
        <v>0.730833333333333</v>
      </c>
      <c r="H320">
        <v>2.05031037330627</v>
      </c>
      <c r="I320">
        <v>1.8451455831527701</v>
      </c>
      <c r="J320">
        <v>1.12084853649139</v>
      </c>
      <c r="K320">
        <v>1.7841882705688501</v>
      </c>
      <c r="L320">
        <v>1.9220771789550799</v>
      </c>
      <c r="M320">
        <v>1.70934963226318</v>
      </c>
      <c r="N320">
        <v>0.37826558947563171</v>
      </c>
      <c r="O320">
        <v>0.65405046939849854</v>
      </c>
      <c r="P320">
        <v>2.2808303833007813</v>
      </c>
      <c r="Q320">
        <v>1</v>
      </c>
      <c r="R320">
        <v>0</v>
      </c>
      <c r="S320">
        <v>0</v>
      </c>
      <c r="T320">
        <f t="shared" si="11"/>
        <v>-4.411958094718163E-2</v>
      </c>
    </row>
    <row r="321" spans="1:20" x14ac:dyDescent="0.3">
      <c r="A321" s="4" t="s">
        <v>12</v>
      </c>
      <c r="B321" s="4">
        <v>13</v>
      </c>
      <c r="C321" s="4">
        <v>2019</v>
      </c>
      <c r="D321" s="4">
        <v>0.15064292547889399</v>
      </c>
      <c r="E321">
        <v>3.2358333333333298</v>
      </c>
      <c r="F321">
        <v>1.5</v>
      </c>
      <c r="G321">
        <v>0.92833333333333301</v>
      </c>
      <c r="H321">
        <v>2.0337541103363002</v>
      </c>
      <c r="I321">
        <v>1.82773196697235</v>
      </c>
      <c r="J321">
        <v>1.14211213588715</v>
      </c>
      <c r="K321">
        <v>1.7978940010070801</v>
      </c>
      <c r="L321">
        <v>1.9408434629440301</v>
      </c>
      <c r="M321">
        <v>1.65354299545288</v>
      </c>
      <c r="N321">
        <v>0.33911082148551941</v>
      </c>
      <c r="O321">
        <v>0.47955453395843506</v>
      </c>
      <c r="P321">
        <v>2.2808303833007813</v>
      </c>
      <c r="Q321">
        <v>1</v>
      </c>
      <c r="R321">
        <v>0</v>
      </c>
      <c r="S321">
        <v>0</v>
      </c>
      <c r="T321">
        <f t="shared" si="11"/>
        <v>2.8188721223113011E-2</v>
      </c>
    </row>
    <row r="322" spans="1:20" x14ac:dyDescent="0.3">
      <c r="A322" s="4" t="s">
        <v>12</v>
      </c>
      <c r="B322" s="4">
        <v>13</v>
      </c>
      <c r="C322" s="4">
        <v>2020</v>
      </c>
      <c r="D322" s="4">
        <v>0.16021579444158901</v>
      </c>
      <c r="E322">
        <v>2.6974999999999998</v>
      </c>
      <c r="F322">
        <v>0</v>
      </c>
      <c r="G322">
        <v>0.59750000000000003</v>
      </c>
      <c r="H322">
        <v>2.0657691955566402</v>
      </c>
      <c r="I322">
        <v>1.88777232170105</v>
      </c>
      <c r="J322">
        <v>1.2216057777404801</v>
      </c>
      <c r="K322">
        <v>1.69426965713501</v>
      </c>
      <c r="L322">
        <v>1.9299217462539699</v>
      </c>
      <c r="M322">
        <v>1.72022712230682</v>
      </c>
      <c r="N322">
        <v>0.18055671453475952</v>
      </c>
      <c r="O322">
        <v>0.5152403712272644</v>
      </c>
      <c r="P322">
        <v>2.2808303833007813</v>
      </c>
      <c r="Q322">
        <v>1</v>
      </c>
      <c r="R322">
        <v>0</v>
      </c>
      <c r="S322">
        <v>0</v>
      </c>
      <c r="T322">
        <f t="shared" si="11"/>
        <v>6.3546754235307507E-2</v>
      </c>
    </row>
    <row r="323" spans="1:20" x14ac:dyDescent="0.3">
      <c r="A323" s="4" t="s">
        <v>12</v>
      </c>
      <c r="B323" s="4">
        <v>13</v>
      </c>
      <c r="C323" s="4">
        <v>2021</v>
      </c>
      <c r="D323" s="4">
        <v>0.13345816766719301</v>
      </c>
      <c r="E323">
        <v>2.2741666666666598</v>
      </c>
      <c r="F323">
        <v>0.5</v>
      </c>
      <c r="G323">
        <v>0.30166666666666597</v>
      </c>
      <c r="H323">
        <v>2.1083104610443102</v>
      </c>
      <c r="I323">
        <v>1.79539930820465</v>
      </c>
      <c r="J323">
        <v>1.0886263847351101</v>
      </c>
      <c r="K323">
        <v>1.62860715389252</v>
      </c>
      <c r="L323">
        <v>1.9079183340072601</v>
      </c>
      <c r="M323">
        <v>1.7380355596542401</v>
      </c>
      <c r="N323">
        <v>0.32352904081344602</v>
      </c>
      <c r="O323">
        <v>0.45538072586059569</v>
      </c>
      <c r="P323">
        <v>2.2808303833007813</v>
      </c>
      <c r="Q323">
        <v>1</v>
      </c>
      <c r="R323">
        <v>0</v>
      </c>
      <c r="S323">
        <v>0</v>
      </c>
      <c r="T323">
        <f t="shared" si="11"/>
        <v>-0.16700991851431485</v>
      </c>
    </row>
    <row r="324" spans="1:20" x14ac:dyDescent="0.3">
      <c r="A324" s="4" t="s">
        <v>12</v>
      </c>
      <c r="B324" s="4">
        <v>13</v>
      </c>
      <c r="C324" s="4">
        <v>2022</v>
      </c>
      <c r="D324" s="4">
        <v>0.105568628356321</v>
      </c>
      <c r="E324">
        <v>3.2433333333333301</v>
      </c>
      <c r="F324">
        <v>2.75</v>
      </c>
      <c r="G324">
        <v>0.88333333333333297</v>
      </c>
      <c r="H324">
        <v>2.0676383972168</v>
      </c>
      <c r="I324">
        <v>1.9417202472686801</v>
      </c>
      <c r="J324">
        <v>0.86123925447464</v>
      </c>
      <c r="K324">
        <v>1.5161395072937001</v>
      </c>
      <c r="L324">
        <v>1.76085293292999</v>
      </c>
      <c r="M324">
        <v>1.7806752920150799</v>
      </c>
      <c r="N324">
        <v>0.31654650688171387</v>
      </c>
      <c r="O324">
        <v>0.49420103192329401</v>
      </c>
      <c r="P324">
        <v>2.2808303833007813</v>
      </c>
      <c r="Q324">
        <v>1</v>
      </c>
      <c r="R324">
        <v>0</v>
      </c>
      <c r="S324">
        <v>0</v>
      </c>
      <c r="T324">
        <f t="shared" si="11"/>
        <v>-0.20897588958677035</v>
      </c>
    </row>
    <row r="325" spans="1:20" x14ac:dyDescent="0.3">
      <c r="A325" s="4" t="s">
        <v>12</v>
      </c>
      <c r="B325" s="4">
        <v>13</v>
      </c>
      <c r="C325" s="4">
        <v>2023</v>
      </c>
      <c r="D325" s="4">
        <v>0.124104424690457</v>
      </c>
      <c r="E325">
        <v>5.30833333333333</v>
      </c>
      <c r="F325">
        <v>4.5</v>
      </c>
      <c r="G325">
        <v>2.3941666666666599</v>
      </c>
      <c r="H325">
        <v>2.1135215759277299</v>
      </c>
      <c r="I325">
        <v>1.7999353408813501</v>
      </c>
      <c r="J325">
        <v>0.89285743236541704</v>
      </c>
      <c r="K325">
        <v>1.59752345085144</v>
      </c>
      <c r="L325">
        <v>1.8339815139770499</v>
      </c>
      <c r="M325">
        <v>1.77725434303284</v>
      </c>
      <c r="N325">
        <v>0.30760173463821416</v>
      </c>
      <c r="O325">
        <v>0.51968542647361748</v>
      </c>
      <c r="P325">
        <v>2.2808303833007813</v>
      </c>
      <c r="Q325">
        <v>1</v>
      </c>
      <c r="R325">
        <v>0</v>
      </c>
      <c r="S325">
        <v>0</v>
      </c>
      <c r="T325">
        <f t="shared" si="11"/>
        <v>0.17558053583468919</v>
      </c>
    </row>
    <row r="326" spans="1:20" x14ac:dyDescent="0.3">
      <c r="A326" s="4" t="s">
        <v>12</v>
      </c>
      <c r="B326" s="4">
        <v>13</v>
      </c>
      <c r="C326" s="4">
        <v>2024</v>
      </c>
      <c r="D326" s="4">
        <v>0.128465355114707</v>
      </c>
      <c r="E326">
        <v>6.1491666666666598</v>
      </c>
      <c r="F326">
        <v>4.5</v>
      </c>
      <c r="G326">
        <v>3.2591666666666601</v>
      </c>
      <c r="H326">
        <v>2.077798748016356</v>
      </c>
      <c r="I326">
        <v>1.8505118370056159</v>
      </c>
      <c r="J326">
        <v>1.0412881970405592</v>
      </c>
      <c r="K326">
        <v>1.64688675403595</v>
      </c>
      <c r="L326">
        <v>1.8747035980224598</v>
      </c>
      <c r="M326">
        <v>1.7339470624923721</v>
      </c>
      <c r="N326">
        <v>0.29346896367073061</v>
      </c>
      <c r="O326">
        <v>0.49281241788864139</v>
      </c>
      <c r="P326">
        <v>2.2808303833007813</v>
      </c>
      <c r="Q326">
        <v>1</v>
      </c>
      <c r="R326">
        <v>0</v>
      </c>
      <c r="S326">
        <v>0</v>
      </c>
      <c r="T326">
        <f t="shared" si="11"/>
        <v>3.513920180627797E-2</v>
      </c>
    </row>
    <row r="327" spans="1:20" x14ac:dyDescent="0.3">
      <c r="A327" s="4" t="s">
        <v>11</v>
      </c>
      <c r="B327" s="4">
        <v>14</v>
      </c>
      <c r="C327" s="4">
        <v>2000</v>
      </c>
      <c r="D327" s="4">
        <v>0.257692251193537</v>
      </c>
      <c r="E327">
        <v>53.85</v>
      </c>
      <c r="F327">
        <v>35</v>
      </c>
      <c r="G327">
        <v>33.108333333333299</v>
      </c>
      <c r="H327">
        <v>-0.51061975955963101</v>
      </c>
      <c r="I327">
        <v>-0.26215898990631098</v>
      </c>
      <c r="J327">
        <v>-0.379039525985718</v>
      </c>
      <c r="K327">
        <v>-0.10475037246942499</v>
      </c>
      <c r="L327">
        <v>-0.18183496594428999</v>
      </c>
      <c r="M327">
        <v>0.46930706501007102</v>
      </c>
      <c r="N327">
        <v>0.47475129365921021</v>
      </c>
      <c r="O327">
        <v>0.60597801208496094</v>
      </c>
      <c r="P327">
        <v>-1.2538762092590332</v>
      </c>
      <c r="Q327">
        <v>0.1624319851398468</v>
      </c>
      <c r="R327">
        <v>0</v>
      </c>
      <c r="S327">
        <v>0</v>
      </c>
    </row>
    <row r="328" spans="1:20" x14ac:dyDescent="0.3">
      <c r="A328" s="4" t="s">
        <v>11</v>
      </c>
      <c r="B328" s="4">
        <v>14</v>
      </c>
      <c r="C328" s="4">
        <v>2001</v>
      </c>
      <c r="D328" s="4">
        <v>0.28716342423720997</v>
      </c>
      <c r="E328">
        <v>45.4</v>
      </c>
      <c r="F328" s="2">
        <v>35</v>
      </c>
      <c r="G328">
        <v>26.8666666666666</v>
      </c>
      <c r="H328">
        <v>-0.47566647827625252</v>
      </c>
      <c r="I328">
        <v>-0.22937340289354299</v>
      </c>
      <c r="J328">
        <v>4.2900398373603515E-2</v>
      </c>
      <c r="K328">
        <v>-2.9524290934204948E-2</v>
      </c>
      <c r="L328">
        <v>-0.22371977567672699</v>
      </c>
      <c r="M328">
        <v>0.42772659659385703</v>
      </c>
      <c r="N328">
        <v>0.64439284801483154</v>
      </c>
      <c r="O328">
        <v>0.3846791684627533</v>
      </c>
      <c r="P328">
        <v>-1.2538762092590332</v>
      </c>
      <c r="Q328">
        <v>0.1624319851398468</v>
      </c>
      <c r="R328">
        <v>0</v>
      </c>
      <c r="S328">
        <v>0</v>
      </c>
      <c r="T328">
        <f>((D328-D327)/D327)</f>
        <v>0.11436577121420295</v>
      </c>
    </row>
    <row r="329" spans="1:20" x14ac:dyDescent="0.3">
      <c r="A329" s="4" t="s">
        <v>11</v>
      </c>
      <c r="B329" s="4">
        <v>14</v>
      </c>
      <c r="C329" s="4">
        <v>2002</v>
      </c>
      <c r="D329" s="4">
        <v>0.31042752517706901</v>
      </c>
      <c r="E329">
        <v>35.424999999999997</v>
      </c>
      <c r="F329" s="2">
        <v>20.45</v>
      </c>
      <c r="G329">
        <v>19.233333333333299</v>
      </c>
      <c r="H329">
        <v>-0.44071319699287398</v>
      </c>
      <c r="I329">
        <v>-0.19658781588077501</v>
      </c>
      <c r="J329">
        <v>0.46484032273292503</v>
      </c>
      <c r="K329">
        <v>4.5701790601015098E-2</v>
      </c>
      <c r="L329">
        <v>-0.26560458540916398</v>
      </c>
      <c r="M329">
        <v>0.38614612817764299</v>
      </c>
      <c r="N329">
        <v>0.48615053296089172</v>
      </c>
      <c r="O329">
        <v>0.38928443193435669</v>
      </c>
      <c r="P329">
        <v>-5.7141531258821487E-2</v>
      </c>
      <c r="Q329">
        <v>0.44600480794906616</v>
      </c>
      <c r="R329">
        <v>0</v>
      </c>
      <c r="S329">
        <v>0</v>
      </c>
      <c r="T329">
        <f t="shared" ref="T329:T351" si="12">((D329-D328)/D328)</f>
        <v>8.1013454278361832E-2</v>
      </c>
    </row>
    <row r="330" spans="1:20" x14ac:dyDescent="0.3">
      <c r="A330" s="4" t="s">
        <v>11</v>
      </c>
      <c r="B330" s="4">
        <v>14</v>
      </c>
      <c r="C330" s="4">
        <v>2003</v>
      </c>
      <c r="D330" s="4">
        <v>0.214509178939295</v>
      </c>
      <c r="E330">
        <v>25.434999999999999</v>
      </c>
      <c r="F330">
        <v>21.25</v>
      </c>
      <c r="G330">
        <v>11.0241666666666</v>
      </c>
      <c r="H330">
        <v>-0.41066989302635198</v>
      </c>
      <c r="I330">
        <v>-0.28344219923019398</v>
      </c>
      <c r="J330">
        <v>0.32003012299537698</v>
      </c>
      <c r="K330">
        <v>-5.1850341260433197E-2</v>
      </c>
      <c r="L330">
        <v>-0.21005436778068501</v>
      </c>
      <c r="M330">
        <v>0.29921892285347002</v>
      </c>
      <c r="N330">
        <v>0.29231828451156616</v>
      </c>
      <c r="O330">
        <v>0.68296176195144653</v>
      </c>
      <c r="P330">
        <v>0.19463086128234863</v>
      </c>
      <c r="Q330">
        <v>0.50566363334655762</v>
      </c>
      <c r="R330">
        <v>0</v>
      </c>
      <c r="S330">
        <v>0</v>
      </c>
      <c r="T330">
        <f t="shared" si="12"/>
        <v>-0.30898789075827549</v>
      </c>
    </row>
    <row r="331" spans="1:20" x14ac:dyDescent="0.3">
      <c r="A331" s="4" t="s">
        <v>11</v>
      </c>
      <c r="B331" s="4">
        <v>14</v>
      </c>
      <c r="C331" s="4">
        <v>2004</v>
      </c>
      <c r="D331" s="4">
        <v>0.17472803848814999</v>
      </c>
      <c r="E331">
        <v>25.612500000000001</v>
      </c>
      <c r="F331">
        <v>17</v>
      </c>
      <c r="G331">
        <v>11.5383333333333</v>
      </c>
      <c r="H331">
        <v>-0.32250183820724498</v>
      </c>
      <c r="I331">
        <v>-0.17491602897644001</v>
      </c>
      <c r="J331">
        <v>5.93486130237579E-2</v>
      </c>
      <c r="K331">
        <v>0.180780634284019</v>
      </c>
      <c r="L331">
        <v>-0.18678270280361201</v>
      </c>
      <c r="M331">
        <v>0.36776620149612399</v>
      </c>
      <c r="N331">
        <v>0.22668305039405823</v>
      </c>
      <c r="O331">
        <v>0.92283922433853149</v>
      </c>
      <c r="P331">
        <v>1.5255131721496582</v>
      </c>
      <c r="Q331">
        <v>0.82102346420288086</v>
      </c>
      <c r="R331">
        <v>0</v>
      </c>
      <c r="S331">
        <v>0</v>
      </c>
      <c r="T331">
        <f t="shared" si="12"/>
        <v>-0.18545192633646163</v>
      </c>
    </row>
    <row r="332" spans="1:20" x14ac:dyDescent="0.3">
      <c r="A332" s="4" t="s">
        <v>11</v>
      </c>
      <c r="B332" s="4">
        <v>14</v>
      </c>
      <c r="C332" s="4">
        <v>2005</v>
      </c>
      <c r="D332" s="4">
        <v>0.96672523561291201</v>
      </c>
      <c r="E332">
        <v>19.600833333333298</v>
      </c>
      <c r="F332">
        <v>7.5</v>
      </c>
      <c r="G332">
        <v>6.415</v>
      </c>
      <c r="H332">
        <v>-0.26054301857948298</v>
      </c>
      <c r="I332">
        <v>-0.289697855710983</v>
      </c>
      <c r="J332">
        <v>8.5602648556232494E-2</v>
      </c>
      <c r="K332">
        <v>0.24288612604141199</v>
      </c>
      <c r="L332">
        <v>-0.15421743690967599</v>
      </c>
      <c r="M332">
        <v>0.40890884399414101</v>
      </c>
      <c r="N332">
        <v>0.25921544432640076</v>
      </c>
      <c r="O332">
        <v>0.62684643268585205</v>
      </c>
      <c r="P332">
        <v>1.7772855758666992</v>
      </c>
      <c r="Q332">
        <v>0.88068228960037231</v>
      </c>
      <c r="R332">
        <v>0</v>
      </c>
      <c r="S332">
        <v>0</v>
      </c>
      <c r="T332">
        <f t="shared" si="12"/>
        <v>4.5327424492233117</v>
      </c>
    </row>
    <row r="333" spans="1:20" x14ac:dyDescent="0.3">
      <c r="A333" s="4" t="s">
        <v>11</v>
      </c>
      <c r="B333" s="4">
        <v>14</v>
      </c>
      <c r="C333" s="4">
        <v>2006</v>
      </c>
      <c r="D333" s="4">
        <v>0.95101510224003805</v>
      </c>
      <c r="E333">
        <v>13.9816666666666</v>
      </c>
      <c r="F333">
        <v>8.75</v>
      </c>
      <c r="G333">
        <v>4.76833333333333</v>
      </c>
      <c r="H333">
        <v>-0.209158509969711</v>
      </c>
      <c r="I333">
        <v>-0.189176306128502</v>
      </c>
      <c r="J333">
        <v>0.14843007922172499</v>
      </c>
      <c r="K333">
        <v>0.44195890426635698</v>
      </c>
      <c r="L333">
        <v>-0.13470841944217701</v>
      </c>
      <c r="M333">
        <v>0.51797342300414995</v>
      </c>
      <c r="N333">
        <v>0.29074415564537048</v>
      </c>
      <c r="O333">
        <v>0.59537321329116821</v>
      </c>
      <c r="P333">
        <v>2.0290579795837402</v>
      </c>
      <c r="Q333">
        <v>0.94034117460250854</v>
      </c>
      <c r="R333">
        <v>0</v>
      </c>
      <c r="S333">
        <v>0</v>
      </c>
      <c r="T333">
        <f t="shared" si="12"/>
        <v>-1.6250877492521038E-2</v>
      </c>
    </row>
    <row r="334" spans="1:20" x14ac:dyDescent="0.3">
      <c r="A334" s="4" t="s">
        <v>11</v>
      </c>
      <c r="B334" s="4">
        <v>14</v>
      </c>
      <c r="C334" s="4">
        <v>2007</v>
      </c>
      <c r="D334" s="4">
        <v>0.93034751990096098</v>
      </c>
      <c r="E334">
        <v>13.348333333333301</v>
      </c>
      <c r="F334">
        <v>7.5</v>
      </c>
      <c r="G334">
        <v>6.7</v>
      </c>
      <c r="H334">
        <v>-0.230330780148506</v>
      </c>
      <c r="I334">
        <v>-0.352275401353836</v>
      </c>
      <c r="J334">
        <v>0.19806793332099901</v>
      </c>
      <c r="K334">
        <v>0.506391942501068</v>
      </c>
      <c r="L334">
        <v>-0.10570373386144601</v>
      </c>
      <c r="M334">
        <v>0.49899765849113498</v>
      </c>
      <c r="N334">
        <v>0.26160308718681335</v>
      </c>
      <c r="O334">
        <v>0.60650885105133057</v>
      </c>
      <c r="P334">
        <v>2.2808303833007813</v>
      </c>
      <c r="Q334">
        <v>1</v>
      </c>
      <c r="R334">
        <v>0</v>
      </c>
      <c r="S334">
        <v>0</v>
      </c>
      <c r="T334">
        <f t="shared" si="12"/>
        <v>-2.17321284282408E-2</v>
      </c>
    </row>
    <row r="335" spans="1:20" x14ac:dyDescent="0.3">
      <c r="A335" s="4" t="s">
        <v>11</v>
      </c>
      <c r="B335" s="4">
        <v>14</v>
      </c>
      <c r="C335" s="4">
        <v>2008</v>
      </c>
      <c r="D335" s="4">
        <v>0.79431137068872304</v>
      </c>
      <c r="E335">
        <v>14.9883333333333</v>
      </c>
      <c r="F335">
        <v>10.25</v>
      </c>
      <c r="G335">
        <v>9.5133333333333301</v>
      </c>
      <c r="H335">
        <v>-0.18621614575386</v>
      </c>
      <c r="I335">
        <v>-0.35789522528648399</v>
      </c>
      <c r="J335">
        <v>0.18060909211635601</v>
      </c>
      <c r="K335">
        <v>0.59752130508422896</v>
      </c>
      <c r="L335">
        <v>-1.5570250339806101E-2</v>
      </c>
      <c r="M335">
        <v>0.51415115594863903</v>
      </c>
      <c r="N335">
        <v>0.1801849901676178</v>
      </c>
      <c r="O335">
        <v>0.66932034492492676</v>
      </c>
      <c r="P335">
        <v>2.2808303833007813</v>
      </c>
      <c r="Q335">
        <v>1</v>
      </c>
      <c r="R335">
        <v>0</v>
      </c>
      <c r="S335">
        <v>0</v>
      </c>
      <c r="T335">
        <f t="shared" si="12"/>
        <v>-0.14622078986862835</v>
      </c>
    </row>
    <row r="336" spans="1:20" x14ac:dyDescent="0.3">
      <c r="A336" s="4" t="s">
        <v>11</v>
      </c>
      <c r="B336" s="4">
        <v>14</v>
      </c>
      <c r="C336" s="4">
        <v>2009</v>
      </c>
      <c r="D336" s="4">
        <v>0.39197139927611102</v>
      </c>
      <c r="E336">
        <v>17.274999999999999</v>
      </c>
      <c r="F336">
        <v>8</v>
      </c>
      <c r="G336">
        <v>11.986666666666601</v>
      </c>
      <c r="H336">
        <v>-0.3098004758358</v>
      </c>
      <c r="I336">
        <v>-0.363970696926117</v>
      </c>
      <c r="J336">
        <v>0.35936629772186302</v>
      </c>
      <c r="K336">
        <v>0.61771494150161699</v>
      </c>
      <c r="L336">
        <v>5.3940374404191999E-2</v>
      </c>
      <c r="M336">
        <v>0.464297264814377</v>
      </c>
      <c r="N336">
        <v>0.1499612033367157</v>
      </c>
      <c r="O336">
        <v>0.68982750177383423</v>
      </c>
      <c r="P336">
        <v>2.2808303833007813</v>
      </c>
      <c r="Q336">
        <v>1</v>
      </c>
      <c r="R336">
        <v>0</v>
      </c>
      <c r="S336">
        <v>0</v>
      </c>
      <c r="T336">
        <f t="shared" si="12"/>
        <v>-0.50652676804029051</v>
      </c>
    </row>
    <row r="337" spans="1:20" x14ac:dyDescent="0.3">
      <c r="A337" s="4" t="s">
        <v>11</v>
      </c>
      <c r="B337" s="4">
        <v>14</v>
      </c>
      <c r="C337" s="4">
        <v>2010</v>
      </c>
      <c r="D337" s="4">
        <v>0.37714348245798002</v>
      </c>
      <c r="E337">
        <v>14.0725</v>
      </c>
      <c r="F337">
        <v>6.25</v>
      </c>
      <c r="G337">
        <v>7.3133333333333299</v>
      </c>
      <c r="H337">
        <v>-0.35239461064338701</v>
      </c>
      <c r="I337">
        <v>-0.112342447042465</v>
      </c>
      <c r="J337">
        <v>0.27360039949417098</v>
      </c>
      <c r="K337">
        <v>0.67256700992584195</v>
      </c>
      <c r="L337">
        <v>0.106409564614296</v>
      </c>
      <c r="M337">
        <v>0.43213042616844199</v>
      </c>
      <c r="N337">
        <v>0.16322797536849976</v>
      </c>
      <c r="O337">
        <v>0.61582350730895996</v>
      </c>
      <c r="P337">
        <v>2.2808303833007813</v>
      </c>
      <c r="Q337">
        <v>1</v>
      </c>
      <c r="R337">
        <v>0</v>
      </c>
      <c r="S337">
        <v>0</v>
      </c>
      <c r="T337">
        <f t="shared" si="12"/>
        <v>-3.7829078462140495E-2</v>
      </c>
    </row>
    <row r="338" spans="1:20" x14ac:dyDescent="0.3">
      <c r="A338" s="4" t="s">
        <v>11</v>
      </c>
      <c r="B338" s="4">
        <v>14</v>
      </c>
      <c r="C338" s="4">
        <v>2011</v>
      </c>
      <c r="D338" s="4">
        <v>0.36034786062509999</v>
      </c>
      <c r="E338">
        <v>12.1275</v>
      </c>
      <c r="F338">
        <v>6</v>
      </c>
      <c r="G338">
        <v>6.2975000000000003</v>
      </c>
      <c r="H338">
        <v>-0.33349850773811301</v>
      </c>
      <c r="I338">
        <v>-0.19431567192077601</v>
      </c>
      <c r="J338">
        <v>0.186090663075447</v>
      </c>
      <c r="K338">
        <v>0.68745982646942105</v>
      </c>
      <c r="L338">
        <v>0.104707606136799</v>
      </c>
      <c r="M338">
        <v>0.37613716721534701</v>
      </c>
      <c r="N338">
        <v>0.17544618248939514</v>
      </c>
      <c r="O338">
        <v>0.63360583782196045</v>
      </c>
      <c r="P338">
        <v>2.2808303833007813</v>
      </c>
      <c r="Q338">
        <v>1</v>
      </c>
      <c r="R338">
        <v>0</v>
      </c>
      <c r="S338">
        <v>0</v>
      </c>
      <c r="T338">
        <f t="shared" si="12"/>
        <v>-4.4533771930557846E-2</v>
      </c>
    </row>
    <row r="339" spans="1:20" x14ac:dyDescent="0.3">
      <c r="A339" s="4" t="s">
        <v>11</v>
      </c>
      <c r="B339" s="4">
        <v>14</v>
      </c>
      <c r="C339" s="4">
        <v>2012</v>
      </c>
      <c r="D339" s="4">
        <v>0.409351035859985</v>
      </c>
      <c r="E339">
        <v>11.3291666666666</v>
      </c>
      <c r="F339">
        <v>5.25</v>
      </c>
      <c r="G339">
        <v>5.5049999999999999</v>
      </c>
      <c r="H339">
        <v>-0.381443470716476</v>
      </c>
      <c r="I339">
        <v>-0.16948463022708901</v>
      </c>
      <c r="J339">
        <v>8.2341559231281294E-2</v>
      </c>
      <c r="K339">
        <v>0.56453311443328902</v>
      </c>
      <c r="L339">
        <v>9.2900536954402896E-2</v>
      </c>
      <c r="M339">
        <v>0.31852960586547902</v>
      </c>
      <c r="N339">
        <v>0.2219109982252121</v>
      </c>
      <c r="O339">
        <v>0.38707765936851501</v>
      </c>
      <c r="P339">
        <v>2.2808303833007813</v>
      </c>
      <c r="Q339">
        <v>1</v>
      </c>
      <c r="R339">
        <v>0</v>
      </c>
      <c r="S339">
        <v>0</v>
      </c>
      <c r="T339">
        <f t="shared" si="12"/>
        <v>0.13598852827897628</v>
      </c>
    </row>
    <row r="340" spans="1:20" x14ac:dyDescent="0.3">
      <c r="A340" s="4" t="s">
        <v>11</v>
      </c>
      <c r="B340" s="4">
        <v>14</v>
      </c>
      <c r="C340" s="4">
        <v>2013</v>
      </c>
      <c r="D340" s="4">
        <v>2.5320377288048599</v>
      </c>
      <c r="E340">
        <v>10.522500000000001</v>
      </c>
      <c r="F340">
        <v>4</v>
      </c>
      <c r="G340">
        <v>4.5508333333333297</v>
      </c>
      <c r="H340">
        <v>-0.30103871226310702</v>
      </c>
      <c r="I340">
        <v>0.13471059501171101</v>
      </c>
      <c r="J340">
        <v>0.17913307249546101</v>
      </c>
      <c r="K340">
        <v>0.63441473245620705</v>
      </c>
      <c r="L340">
        <v>0.190215259790421</v>
      </c>
      <c r="M340">
        <v>0.311483293771744</v>
      </c>
      <c r="N340">
        <v>0.2821577787399292</v>
      </c>
      <c r="O340">
        <v>0.413053959608078</v>
      </c>
      <c r="P340">
        <v>2.2808303833007813</v>
      </c>
      <c r="Q340">
        <v>1</v>
      </c>
      <c r="R340">
        <v>0</v>
      </c>
      <c r="S340">
        <v>0</v>
      </c>
      <c r="T340">
        <f t="shared" si="12"/>
        <v>5.1854924184701989</v>
      </c>
    </row>
    <row r="341" spans="1:20" x14ac:dyDescent="0.3">
      <c r="A341" s="4" t="s">
        <v>11</v>
      </c>
      <c r="B341" s="4">
        <v>14</v>
      </c>
      <c r="C341" s="4">
        <v>2014</v>
      </c>
      <c r="D341" s="4">
        <v>2.5452952663767001</v>
      </c>
      <c r="E341">
        <v>8.4658333333333307</v>
      </c>
      <c r="F341">
        <v>2.75</v>
      </c>
      <c r="G341">
        <v>3.02</v>
      </c>
      <c r="H341">
        <v>-0.224212571978569</v>
      </c>
      <c r="I341">
        <v>0.22467221319675401</v>
      </c>
      <c r="J341">
        <v>4.9136128276586498E-2</v>
      </c>
      <c r="K341">
        <v>0.60080534219741799</v>
      </c>
      <c r="L341">
        <v>0.24215574562549599</v>
      </c>
      <c r="M341">
        <v>0.42810305953025801</v>
      </c>
      <c r="N341">
        <v>0.34279933571815491</v>
      </c>
      <c r="O341">
        <v>0.55441009998321533</v>
      </c>
      <c r="P341">
        <v>2.2808303833007813</v>
      </c>
      <c r="Q341">
        <v>1</v>
      </c>
      <c r="R341">
        <v>0</v>
      </c>
      <c r="S341">
        <v>0</v>
      </c>
      <c r="T341">
        <f t="shared" si="12"/>
        <v>5.2359162823762033E-3</v>
      </c>
    </row>
    <row r="342" spans="1:20" x14ac:dyDescent="0.3">
      <c r="A342" s="4" t="s">
        <v>11</v>
      </c>
      <c r="B342" s="4">
        <v>14</v>
      </c>
      <c r="C342" s="4">
        <v>2015</v>
      </c>
      <c r="D342" s="4">
        <v>3.03084180005794</v>
      </c>
      <c r="E342">
        <v>6.7675000000000001</v>
      </c>
      <c r="F342">
        <v>1.75</v>
      </c>
      <c r="G342">
        <v>1.8883333333333301</v>
      </c>
      <c r="H342">
        <v>-0.170948252081871</v>
      </c>
      <c r="I342">
        <v>9.8790459334850297E-2</v>
      </c>
      <c r="J342">
        <v>0.181799337267876</v>
      </c>
      <c r="K342">
        <v>0.56835758686065696</v>
      </c>
      <c r="L342">
        <v>0.20488214492797899</v>
      </c>
      <c r="M342">
        <v>0.48617029190063499</v>
      </c>
      <c r="N342">
        <v>0.25882145762443542</v>
      </c>
      <c r="O342">
        <v>0.59214609861373901</v>
      </c>
      <c r="P342">
        <v>2.2808303833007813</v>
      </c>
      <c r="Q342">
        <v>1</v>
      </c>
      <c r="R342">
        <v>0</v>
      </c>
      <c r="S342">
        <v>0</v>
      </c>
      <c r="T342">
        <f t="shared" si="12"/>
        <v>0.19076236069555463</v>
      </c>
    </row>
    <row r="343" spans="1:20" x14ac:dyDescent="0.3">
      <c r="A343" s="4" t="s">
        <v>11</v>
      </c>
      <c r="B343" s="4">
        <v>14</v>
      </c>
      <c r="C343" s="4">
        <v>2016</v>
      </c>
      <c r="D343" s="4">
        <v>3.2002634393119598</v>
      </c>
      <c r="E343">
        <v>5.7091666666666603</v>
      </c>
      <c r="F343">
        <v>1.75</v>
      </c>
      <c r="G343">
        <v>1.11333333333333</v>
      </c>
      <c r="H343">
        <v>-0.17865721881389601</v>
      </c>
      <c r="I343">
        <v>-6.8261869251728099E-2</v>
      </c>
      <c r="J343">
        <v>0.26682320237159701</v>
      </c>
      <c r="K343">
        <v>0.56633001565933205</v>
      </c>
      <c r="L343">
        <v>0.45245349407196001</v>
      </c>
      <c r="M343">
        <v>0.54107999801635698</v>
      </c>
      <c r="N343">
        <v>0.3173898458480835</v>
      </c>
      <c r="O343">
        <v>0.36215612292289734</v>
      </c>
      <c r="P343">
        <v>2.2808303833007813</v>
      </c>
      <c r="Q343">
        <v>1</v>
      </c>
      <c r="R343">
        <v>0</v>
      </c>
      <c r="S343">
        <v>0</v>
      </c>
      <c r="T343">
        <f t="shared" si="12"/>
        <v>5.5899202409964439E-2</v>
      </c>
    </row>
    <row r="344" spans="1:20" x14ac:dyDescent="0.3">
      <c r="A344" s="4" t="s">
        <v>11</v>
      </c>
      <c r="B344" s="4">
        <v>14</v>
      </c>
      <c r="C344" s="4">
        <v>2017</v>
      </c>
      <c r="D344" s="4">
        <v>3.1195529424523101</v>
      </c>
      <c r="E344">
        <v>5.5645167427681104</v>
      </c>
      <c r="F344">
        <v>1.75</v>
      </c>
      <c r="G344">
        <v>0.887671328915552</v>
      </c>
      <c r="H344">
        <v>-0.14148321747779799</v>
      </c>
      <c r="I344">
        <v>-8.4791302680969197E-2</v>
      </c>
      <c r="J344">
        <v>4.8514168709516498E-2</v>
      </c>
      <c r="K344">
        <v>0.43302014470100397</v>
      </c>
      <c r="L344">
        <v>0.436648339033127</v>
      </c>
      <c r="M344">
        <v>0.59884858131408703</v>
      </c>
      <c r="N344">
        <v>0.40032503008842468</v>
      </c>
      <c r="O344">
        <v>0.16339769959449768</v>
      </c>
      <c r="P344">
        <v>2.2808303833007813</v>
      </c>
      <c r="Q344">
        <v>1</v>
      </c>
      <c r="R344">
        <v>0</v>
      </c>
      <c r="S344">
        <v>0</v>
      </c>
      <c r="T344">
        <f t="shared" si="12"/>
        <v>-2.5219954041346686E-2</v>
      </c>
    </row>
    <row r="345" spans="1:20" x14ac:dyDescent="0.3">
      <c r="A345" s="4" t="s">
        <v>11</v>
      </c>
      <c r="B345" s="4">
        <v>14</v>
      </c>
      <c r="C345" s="4">
        <v>2018</v>
      </c>
      <c r="D345" s="4">
        <v>2.88843413726554</v>
      </c>
      <c r="E345">
        <v>6.8082022893206098</v>
      </c>
      <c r="F345">
        <v>2.5</v>
      </c>
      <c r="G345">
        <v>1.3045259555561399</v>
      </c>
      <c r="H345">
        <v>-0.226882994174957</v>
      </c>
      <c r="I345">
        <v>-0.17713832855224601</v>
      </c>
      <c r="J345">
        <v>3.6318745464086498E-2</v>
      </c>
      <c r="K345">
        <v>0.40641540288925199</v>
      </c>
      <c r="L345">
        <v>0.367548227310181</v>
      </c>
      <c r="M345">
        <v>0.53320473432540905</v>
      </c>
      <c r="N345">
        <v>0.34134894609451294</v>
      </c>
      <c r="O345">
        <v>0.2016330361366272</v>
      </c>
      <c r="P345">
        <v>2.2808303833007813</v>
      </c>
      <c r="Q345">
        <v>1</v>
      </c>
      <c r="R345">
        <v>0</v>
      </c>
      <c r="S345">
        <v>0</v>
      </c>
      <c r="T345">
        <f t="shared" si="12"/>
        <v>-7.4087155900321222E-2</v>
      </c>
    </row>
    <row r="346" spans="1:20" x14ac:dyDescent="0.3">
      <c r="A346" s="4" t="s">
        <v>11</v>
      </c>
      <c r="B346" s="4">
        <v>14</v>
      </c>
      <c r="C346" s="4">
        <v>2019</v>
      </c>
      <c r="D346" s="4">
        <v>3.2557642866172301</v>
      </c>
      <c r="E346">
        <v>7.16166666666666</v>
      </c>
      <c r="F346">
        <v>2.5</v>
      </c>
      <c r="G346">
        <v>1.7858333333333301</v>
      </c>
      <c r="H346">
        <v>-0.236893355846405</v>
      </c>
      <c r="I346">
        <v>-0.215103924274445</v>
      </c>
      <c r="J346">
        <v>0.54225599765777599</v>
      </c>
      <c r="K346">
        <v>0.44331443309783902</v>
      </c>
      <c r="L346">
        <v>0.41534364223480202</v>
      </c>
      <c r="M346">
        <v>0.515233874320984</v>
      </c>
      <c r="N346">
        <v>0.3802301287651062</v>
      </c>
      <c r="O346">
        <v>0.22402955591678619</v>
      </c>
      <c r="P346">
        <v>2.2808303833007813</v>
      </c>
      <c r="Q346">
        <v>1</v>
      </c>
      <c r="R346">
        <v>0</v>
      </c>
      <c r="S346">
        <v>0</v>
      </c>
      <c r="T346">
        <f t="shared" si="12"/>
        <v>0.12717276278261927</v>
      </c>
    </row>
    <row r="347" spans="1:20" x14ac:dyDescent="0.3">
      <c r="A347" s="4" t="s">
        <v>11</v>
      </c>
      <c r="B347" s="4">
        <v>14</v>
      </c>
      <c r="C347" s="4">
        <v>2020</v>
      </c>
      <c r="D347" s="4">
        <v>3.0426851754726001</v>
      </c>
      <c r="E347">
        <v>6.4864012282896901</v>
      </c>
      <c r="F347">
        <v>1.5</v>
      </c>
      <c r="G347">
        <v>1.9280708249946801</v>
      </c>
      <c r="H347">
        <v>-9.8599784076213795E-2</v>
      </c>
      <c r="I347">
        <v>-0.28694444894790599</v>
      </c>
      <c r="J347">
        <v>0.50895041227340698</v>
      </c>
      <c r="K347">
        <v>0.34621754288673401</v>
      </c>
      <c r="L347">
        <v>0.36868992447853099</v>
      </c>
      <c r="M347">
        <v>0.58511823415756203</v>
      </c>
      <c r="N347">
        <v>0.29819405078887939</v>
      </c>
      <c r="O347">
        <v>0.28169324994087219</v>
      </c>
      <c r="P347">
        <v>2.0290579795837402</v>
      </c>
      <c r="Q347">
        <v>0.94034117460250854</v>
      </c>
      <c r="R347">
        <v>0</v>
      </c>
      <c r="S347">
        <v>0</v>
      </c>
      <c r="T347">
        <f t="shared" si="12"/>
        <v>-6.5446725372745332E-2</v>
      </c>
    </row>
    <row r="348" spans="1:20" x14ac:dyDescent="0.3">
      <c r="A348" s="4" t="s">
        <v>11</v>
      </c>
      <c r="B348" s="4">
        <v>14</v>
      </c>
      <c r="C348" s="4">
        <v>2021</v>
      </c>
      <c r="D348" s="4">
        <v>3.1977173984269398</v>
      </c>
      <c r="E348">
        <v>5.6134990571871999</v>
      </c>
      <c r="F348">
        <v>1.75</v>
      </c>
      <c r="G348">
        <v>1.5801410871455099</v>
      </c>
      <c r="H348">
        <v>-6.1378639191389098E-2</v>
      </c>
      <c r="I348">
        <v>-0.16335901618003801</v>
      </c>
      <c r="J348">
        <v>0.581789910793304</v>
      </c>
      <c r="K348">
        <v>0.29227140545844998</v>
      </c>
      <c r="L348">
        <v>0.38048443198204002</v>
      </c>
      <c r="M348">
        <v>0.59372395277023304</v>
      </c>
      <c r="N348">
        <v>0.34749760031700133</v>
      </c>
      <c r="O348">
        <v>0.24658193290233613</v>
      </c>
      <c r="P348">
        <v>1.7772855758666992</v>
      </c>
      <c r="Q348">
        <v>0.88068228960037231</v>
      </c>
      <c r="R348">
        <v>0</v>
      </c>
      <c r="S348">
        <v>0</v>
      </c>
      <c r="T348">
        <f t="shared" si="12"/>
        <v>5.0952436421641809E-2</v>
      </c>
    </row>
    <row r="349" spans="1:20" x14ac:dyDescent="0.3">
      <c r="A349" s="4" t="s">
        <v>11</v>
      </c>
      <c r="B349" s="4">
        <v>14</v>
      </c>
      <c r="C349" s="4">
        <v>2022</v>
      </c>
      <c r="D349" s="4">
        <v>2.9735017259978598</v>
      </c>
      <c r="E349">
        <v>7.7570943092646703</v>
      </c>
      <c r="F349">
        <v>6.75</v>
      </c>
      <c r="G349">
        <v>4.1855592912667996</v>
      </c>
      <c r="H349">
        <v>1.6491658985614801E-2</v>
      </c>
      <c r="I349">
        <v>-4.6235090121626897E-4</v>
      </c>
      <c r="J349">
        <v>0.43113631010055498</v>
      </c>
      <c r="K349">
        <v>0.36453306674957298</v>
      </c>
      <c r="L349">
        <v>0.40340188145637501</v>
      </c>
      <c r="M349">
        <v>0.56626152992248502</v>
      </c>
      <c r="N349">
        <v>0.35351915121078492</v>
      </c>
      <c r="O349">
        <v>0.22346709489822389</v>
      </c>
      <c r="P349">
        <v>1.5255131721496582</v>
      </c>
      <c r="Q349">
        <v>0.82102346420288086</v>
      </c>
      <c r="R349">
        <v>0</v>
      </c>
      <c r="S349">
        <v>0</v>
      </c>
      <c r="T349">
        <f t="shared" si="12"/>
        <v>-7.0117413295927564E-2</v>
      </c>
    </row>
    <row r="350" spans="1:20" x14ac:dyDescent="0.3">
      <c r="A350" s="4" t="s">
        <v>11</v>
      </c>
      <c r="B350" s="4">
        <v>14</v>
      </c>
      <c r="C350" s="4">
        <v>2023</v>
      </c>
      <c r="D350" s="4">
        <v>2.8655055005239198</v>
      </c>
      <c r="E350">
        <v>9.3209612145269194</v>
      </c>
      <c r="F350">
        <v>7</v>
      </c>
      <c r="G350">
        <v>6.4367174960294999</v>
      </c>
      <c r="H350">
        <v>4.0495343506336198E-2</v>
      </c>
      <c r="I350">
        <v>-9.2665947973728194E-2</v>
      </c>
      <c r="J350">
        <v>0.37364396452903698</v>
      </c>
      <c r="K350">
        <v>0.31890061497688299</v>
      </c>
      <c r="L350">
        <v>0.43742579221725503</v>
      </c>
      <c r="M350">
        <v>0.50318032503128096</v>
      </c>
      <c r="N350">
        <v>0.34415797543525695</v>
      </c>
      <c r="O350">
        <v>0.23548097395896911</v>
      </c>
      <c r="P350">
        <v>1.2737407684326172</v>
      </c>
      <c r="Q350">
        <v>0.7613646388053894</v>
      </c>
      <c r="R350">
        <v>0</v>
      </c>
      <c r="S350">
        <v>0</v>
      </c>
      <c r="T350">
        <f t="shared" si="12"/>
        <v>-3.6319543563640651E-2</v>
      </c>
    </row>
    <row r="351" spans="1:20" x14ac:dyDescent="0.3">
      <c r="A351" s="4" t="s">
        <v>11</v>
      </c>
      <c r="B351" s="4">
        <v>14</v>
      </c>
      <c r="C351" s="4">
        <v>2024</v>
      </c>
      <c r="D351" s="4">
        <v>2.4901346657640002</v>
      </c>
      <c r="E351">
        <v>8.7620752934729698</v>
      </c>
      <c r="F351">
        <v>6.5</v>
      </c>
      <c r="G351">
        <v>5.5334959526103997</v>
      </c>
      <c r="H351">
        <v>-6.7976955324411378E-2</v>
      </c>
      <c r="I351">
        <v>-0.15170713765546667</v>
      </c>
      <c r="J351">
        <v>0.48755531907081578</v>
      </c>
      <c r="K351">
        <v>0.35304741263389577</v>
      </c>
      <c r="L351">
        <v>0.40106913447380066</v>
      </c>
      <c r="M351">
        <v>0.55270358324050906</v>
      </c>
      <c r="N351">
        <v>0.3447197813034058</v>
      </c>
      <c r="O351">
        <v>0.24225056152343752</v>
      </c>
      <c r="P351">
        <v>1.2737407684326172</v>
      </c>
      <c r="Q351">
        <v>0.7613646388053894</v>
      </c>
      <c r="R351">
        <v>0</v>
      </c>
      <c r="S351">
        <v>0</v>
      </c>
      <c r="T351">
        <f t="shared" si="12"/>
        <v>-0.13099637557536986</v>
      </c>
    </row>
    <row r="352" spans="1:20" x14ac:dyDescent="0.3">
      <c r="A352" s="4" t="s">
        <v>9</v>
      </c>
      <c r="B352" s="4">
        <v>15</v>
      </c>
      <c r="C352" s="4">
        <v>2000</v>
      </c>
      <c r="D352" s="4">
        <v>0.166526475482417</v>
      </c>
      <c r="E352">
        <v>5.7725</v>
      </c>
      <c r="F352" s="2">
        <v>4</v>
      </c>
      <c r="G352">
        <v>2.0550000000000002</v>
      </c>
      <c r="H352">
        <v>2.2258279323577899</v>
      </c>
      <c r="I352">
        <v>1.8793263435363801</v>
      </c>
      <c r="J352">
        <v>1.3917720317840601</v>
      </c>
      <c r="K352">
        <v>1.34945940971375</v>
      </c>
      <c r="L352">
        <v>1.8001868724823</v>
      </c>
      <c r="M352">
        <v>1.5732885599136399</v>
      </c>
      <c r="N352">
        <v>0.35164511203765869</v>
      </c>
      <c r="O352">
        <v>0.45761397480964661</v>
      </c>
      <c r="P352">
        <v>2.2808303833007813</v>
      </c>
      <c r="Q352">
        <v>1</v>
      </c>
      <c r="R352">
        <v>0</v>
      </c>
      <c r="S352">
        <v>0</v>
      </c>
    </row>
    <row r="353" spans="1:20" x14ac:dyDescent="0.3">
      <c r="A353" s="4" t="s">
        <v>9</v>
      </c>
      <c r="B353" s="4">
        <v>15</v>
      </c>
      <c r="C353" s="4">
        <v>2001</v>
      </c>
      <c r="D353" s="4">
        <v>0.23842887425829901</v>
      </c>
      <c r="E353">
        <v>5.73</v>
      </c>
      <c r="F353" s="2">
        <v>3.75</v>
      </c>
      <c r="G353">
        <v>2.1724999999999999</v>
      </c>
      <c r="H353">
        <v>2.2131127119064349</v>
      </c>
      <c r="I353">
        <v>1.920959532260895</v>
      </c>
      <c r="J353">
        <v>1.433514773845675</v>
      </c>
      <c r="K353">
        <v>1.4698516726493849</v>
      </c>
      <c r="L353">
        <v>1.8213275671005249</v>
      </c>
      <c r="M353">
        <v>1.5405362248420751</v>
      </c>
      <c r="N353">
        <v>0.36731180548667908</v>
      </c>
      <c r="O353">
        <v>0.63562452793121338</v>
      </c>
      <c r="P353">
        <v>2.2808303833007813</v>
      </c>
      <c r="Q353">
        <v>1</v>
      </c>
      <c r="R353">
        <v>0</v>
      </c>
      <c r="S353">
        <v>0</v>
      </c>
      <c r="T353">
        <f>((D353-D352)/D352)</f>
        <v>0.43177758111786824</v>
      </c>
    </row>
    <row r="354" spans="1:20" x14ac:dyDescent="0.3">
      <c r="A354" s="4" t="s">
        <v>9</v>
      </c>
      <c r="B354" s="4">
        <v>15</v>
      </c>
      <c r="C354" s="4">
        <v>2002</v>
      </c>
      <c r="D354" s="4">
        <v>0.19153706712912799</v>
      </c>
      <c r="E354">
        <v>5.7925000000000004</v>
      </c>
      <c r="F354">
        <v>4.5</v>
      </c>
      <c r="G354">
        <v>2.3774999999999999</v>
      </c>
      <c r="H354">
        <v>2.2003974914550799</v>
      </c>
      <c r="I354">
        <v>1.9625927209854099</v>
      </c>
      <c r="J354">
        <v>1.47525751590729</v>
      </c>
      <c r="K354">
        <v>1.59024393558502</v>
      </c>
      <c r="L354">
        <v>1.84246826171875</v>
      </c>
      <c r="M354">
        <v>1.50778388977051</v>
      </c>
      <c r="N354">
        <v>0.35983902215957642</v>
      </c>
      <c r="O354">
        <v>0.44906866550445557</v>
      </c>
      <c r="P354">
        <v>2.2808303833007813</v>
      </c>
      <c r="Q354">
        <v>1</v>
      </c>
      <c r="R354">
        <v>0</v>
      </c>
      <c r="S354">
        <v>0</v>
      </c>
      <c r="T354">
        <f t="shared" ref="T354:T376" si="13">((D354-D353)/D353)</f>
        <v>-0.1966700017984036</v>
      </c>
    </row>
    <row r="355" spans="1:20" x14ac:dyDescent="0.3">
      <c r="A355" s="4" t="s">
        <v>9</v>
      </c>
      <c r="B355" s="4">
        <v>15</v>
      </c>
      <c r="C355" s="4">
        <v>2003</v>
      </c>
      <c r="D355" s="4">
        <v>0.40632275906749299</v>
      </c>
      <c r="E355">
        <v>5.0175000000000001</v>
      </c>
      <c r="F355">
        <v>3</v>
      </c>
      <c r="G355">
        <v>1.675</v>
      </c>
      <c r="H355">
        <v>2.1478836536407502</v>
      </c>
      <c r="I355">
        <v>2.0169019699096702</v>
      </c>
      <c r="J355">
        <v>1.34161329269409</v>
      </c>
      <c r="K355">
        <v>1.6102535724639899</v>
      </c>
      <c r="L355">
        <v>1.8867110013961801</v>
      </c>
      <c r="M355">
        <v>1.54860532283783</v>
      </c>
      <c r="N355">
        <v>0.37978231906890869</v>
      </c>
      <c r="O355">
        <v>0.4689238965511322</v>
      </c>
      <c r="P355">
        <v>2.2808303833007813</v>
      </c>
      <c r="Q355">
        <v>1</v>
      </c>
      <c r="R355">
        <v>0</v>
      </c>
      <c r="S355">
        <v>0</v>
      </c>
      <c r="T355">
        <f t="shared" si="13"/>
        <v>1.1213792461046903</v>
      </c>
    </row>
    <row r="356" spans="1:20" x14ac:dyDescent="0.3">
      <c r="A356" s="4" t="s">
        <v>9</v>
      </c>
      <c r="B356" s="4">
        <v>15</v>
      </c>
      <c r="C356" s="4">
        <v>2004</v>
      </c>
      <c r="D356" s="4">
        <v>0.41498789209034997</v>
      </c>
      <c r="E356">
        <v>4.1825000000000001</v>
      </c>
      <c r="F356">
        <v>2</v>
      </c>
      <c r="G356">
        <v>1.07</v>
      </c>
      <c r="H356">
        <v>2.1326475143432599</v>
      </c>
      <c r="I356">
        <v>2.0997376441955602</v>
      </c>
      <c r="J356">
        <v>1.36222684383392</v>
      </c>
      <c r="K356">
        <v>1.6694091558456401</v>
      </c>
      <c r="L356">
        <v>1.8725622892379801</v>
      </c>
      <c r="M356">
        <v>1.73924720287323</v>
      </c>
      <c r="N356">
        <v>0.47171139717102051</v>
      </c>
      <c r="O356">
        <v>0.48090526461601257</v>
      </c>
      <c r="P356">
        <v>2.2808303833007813</v>
      </c>
      <c r="Q356">
        <v>1</v>
      </c>
      <c r="R356">
        <v>0</v>
      </c>
      <c r="S356">
        <v>0</v>
      </c>
      <c r="T356">
        <f t="shared" si="13"/>
        <v>2.1325738786435164E-2</v>
      </c>
    </row>
    <row r="357" spans="1:20" x14ac:dyDescent="0.3">
      <c r="A357" s="4" t="s">
        <v>9</v>
      </c>
      <c r="B357" s="4">
        <v>15</v>
      </c>
      <c r="C357" s="4">
        <v>2005</v>
      </c>
      <c r="D357" s="4">
        <v>0.462486454983771</v>
      </c>
      <c r="E357">
        <v>3.532</v>
      </c>
      <c r="F357">
        <v>1.5</v>
      </c>
      <c r="G357">
        <v>0.81697500000000001</v>
      </c>
      <c r="H357">
        <v>2.0127975940704301</v>
      </c>
      <c r="I357">
        <v>1.8879017829895</v>
      </c>
      <c r="J357">
        <v>1.29990482330322</v>
      </c>
      <c r="K357">
        <v>1.5328688621521001</v>
      </c>
      <c r="L357">
        <v>1.79775130748749</v>
      </c>
      <c r="M357">
        <v>1.58447277545929</v>
      </c>
      <c r="N357">
        <v>0.45389443635940552</v>
      </c>
      <c r="O357">
        <v>0.48323255777359009</v>
      </c>
      <c r="P357">
        <v>2.2808303833007813</v>
      </c>
      <c r="Q357">
        <v>1</v>
      </c>
      <c r="R357">
        <v>0</v>
      </c>
      <c r="S357">
        <v>0</v>
      </c>
      <c r="T357">
        <f t="shared" si="13"/>
        <v>0.11445770780001402</v>
      </c>
    </row>
    <row r="358" spans="1:20" x14ac:dyDescent="0.3">
      <c r="A358" s="4" t="s">
        <v>9</v>
      </c>
      <c r="B358" s="4">
        <v>15</v>
      </c>
      <c r="C358" s="4">
        <v>2006</v>
      </c>
      <c r="D358" s="4">
        <v>0.53134656596141105</v>
      </c>
      <c r="E358">
        <v>3.6780333333333299</v>
      </c>
      <c r="F358">
        <v>2.5</v>
      </c>
      <c r="G358">
        <v>1.0885777777777801</v>
      </c>
      <c r="H358">
        <v>2.1863234043121298</v>
      </c>
      <c r="I358">
        <v>1.8005728721618699</v>
      </c>
      <c r="J358">
        <v>1.29393398761749</v>
      </c>
      <c r="K358">
        <v>1.43954706192017</v>
      </c>
      <c r="L358">
        <v>1.8511763811111499</v>
      </c>
      <c r="M358">
        <v>1.48571825027466</v>
      </c>
      <c r="N358">
        <v>0.47761210799217224</v>
      </c>
      <c r="O358">
        <v>0.28135731816291809</v>
      </c>
      <c r="P358">
        <v>2.2808303833007813</v>
      </c>
      <c r="Q358">
        <v>1</v>
      </c>
      <c r="R358">
        <v>0</v>
      </c>
      <c r="S358">
        <v>0</v>
      </c>
      <c r="T358">
        <f t="shared" si="13"/>
        <v>0.14889108694017084</v>
      </c>
    </row>
    <row r="359" spans="1:20" x14ac:dyDescent="0.3">
      <c r="A359" s="4" t="s">
        <v>9</v>
      </c>
      <c r="B359" s="4">
        <v>15</v>
      </c>
      <c r="C359" s="4">
        <v>2007</v>
      </c>
      <c r="D359" s="4">
        <v>0.65411071840294799</v>
      </c>
      <c r="E359" s="2">
        <v>4.8499999999999996</v>
      </c>
      <c r="F359">
        <v>3.5</v>
      </c>
      <c r="G359" s="2">
        <v>2.85</v>
      </c>
      <c r="H359">
        <v>2.23397564888</v>
      </c>
      <c r="I359">
        <v>2.0187175273895299</v>
      </c>
      <c r="J359">
        <v>1.27147829532623</v>
      </c>
      <c r="K359">
        <v>1.57299721240997</v>
      </c>
      <c r="L359">
        <v>1.89182782173157</v>
      </c>
      <c r="M359">
        <v>1.5101361274719201</v>
      </c>
      <c r="N359">
        <v>0.45602521300315857</v>
      </c>
      <c r="O359">
        <v>6.5159142017364502E-2</v>
      </c>
      <c r="P359">
        <v>2.2808303833007813</v>
      </c>
      <c r="Q359">
        <v>1</v>
      </c>
      <c r="R359">
        <v>0</v>
      </c>
      <c r="S359">
        <v>0</v>
      </c>
      <c r="T359">
        <f t="shared" si="13"/>
        <v>0.23104346636626735</v>
      </c>
    </row>
    <row r="360" spans="1:20" x14ac:dyDescent="0.3">
      <c r="A360" s="4" t="s">
        <v>9</v>
      </c>
      <c r="B360" s="4">
        <v>15</v>
      </c>
      <c r="C360" s="4">
        <v>2008</v>
      </c>
      <c r="D360" s="4">
        <v>0.79583733953576896</v>
      </c>
      <c r="E360" s="2">
        <v>5.2</v>
      </c>
      <c r="F360">
        <v>2</v>
      </c>
      <c r="G360" s="2">
        <v>3.85</v>
      </c>
      <c r="H360">
        <v>2.2114107608795202</v>
      </c>
      <c r="I360">
        <v>1.9469789266586299</v>
      </c>
      <c r="J360">
        <v>1.1283365488052399</v>
      </c>
      <c r="K360">
        <v>1.6358840465545701</v>
      </c>
      <c r="L360">
        <v>1.91915678977966</v>
      </c>
      <c r="M360">
        <v>1.5201666355133101</v>
      </c>
      <c r="N360">
        <v>0.33047735691070557</v>
      </c>
      <c r="O360">
        <v>6.687590479850769E-2</v>
      </c>
      <c r="P360">
        <v>2.2808303833007813</v>
      </c>
      <c r="Q360">
        <v>1</v>
      </c>
      <c r="R360">
        <v>0</v>
      </c>
      <c r="S360">
        <v>0</v>
      </c>
      <c r="T360">
        <f t="shared" si="13"/>
        <v>0.21667069067275849</v>
      </c>
    </row>
    <row r="361" spans="1:20" x14ac:dyDescent="0.3">
      <c r="A361" s="4" t="s">
        <v>9</v>
      </c>
      <c r="B361" s="4">
        <v>15</v>
      </c>
      <c r="C361" s="4">
        <v>2009</v>
      </c>
      <c r="D361" s="4">
        <v>0.91361897601028197</v>
      </c>
      <c r="E361" s="2">
        <v>2.15</v>
      </c>
      <c r="F361">
        <v>0.5</v>
      </c>
      <c r="G361" s="2">
        <v>0.8</v>
      </c>
      <c r="H361">
        <v>2.2426955699920699</v>
      </c>
      <c r="I361">
        <v>2.0416810512542698</v>
      </c>
      <c r="J361">
        <v>1.08463823795319</v>
      </c>
      <c r="K361">
        <v>1.64970362186432</v>
      </c>
      <c r="L361">
        <v>1.9582816362380999</v>
      </c>
      <c r="M361">
        <v>1.54603838920593</v>
      </c>
      <c r="N361">
        <v>0.23760665953159332</v>
      </c>
      <c r="O361">
        <v>5.1653385162353516E-2</v>
      </c>
      <c r="P361">
        <v>2.2808303833007813</v>
      </c>
      <c r="Q361">
        <v>1</v>
      </c>
      <c r="R361">
        <v>0</v>
      </c>
      <c r="S361">
        <v>0</v>
      </c>
      <c r="T361">
        <f t="shared" si="13"/>
        <v>0.14799712280805757</v>
      </c>
    </row>
    <row r="362" spans="1:20" x14ac:dyDescent="0.3">
      <c r="A362" s="4" t="s">
        <v>9</v>
      </c>
      <c r="B362" s="4">
        <v>15</v>
      </c>
      <c r="C362" s="4">
        <v>2010</v>
      </c>
      <c r="D362" s="4">
        <v>0.82414420228776797</v>
      </c>
      <c r="E362" s="2">
        <v>2.4</v>
      </c>
      <c r="F362">
        <v>0.5</v>
      </c>
      <c r="G362" s="2">
        <v>0.75</v>
      </c>
      <c r="H362">
        <v>2.21972584724426</v>
      </c>
      <c r="I362">
        <v>1.9626203775405899</v>
      </c>
      <c r="J362">
        <v>1.09417045116425</v>
      </c>
      <c r="K362">
        <v>1.6562405824661299</v>
      </c>
      <c r="L362">
        <v>1.93030881881714</v>
      </c>
      <c r="M362">
        <v>1.5427259206771899</v>
      </c>
      <c r="N362">
        <v>0.34910067915916443</v>
      </c>
      <c r="O362">
        <v>0.13072828948497772</v>
      </c>
      <c r="P362">
        <v>2.2808303833007813</v>
      </c>
      <c r="Q362">
        <v>1</v>
      </c>
      <c r="R362">
        <v>0</v>
      </c>
      <c r="S362">
        <v>0</v>
      </c>
      <c r="T362">
        <f t="shared" si="13"/>
        <v>-9.7934451967323241E-2</v>
      </c>
    </row>
    <row r="363" spans="1:20" x14ac:dyDescent="0.3">
      <c r="A363" s="4" t="s">
        <v>9</v>
      </c>
      <c r="B363" s="4">
        <v>15</v>
      </c>
      <c r="C363" s="4">
        <v>2011</v>
      </c>
      <c r="D363" s="4">
        <v>0.76851838301462505</v>
      </c>
      <c r="E363" s="2">
        <v>3.85</v>
      </c>
      <c r="F363">
        <v>1.91</v>
      </c>
      <c r="G363" s="2">
        <v>1.75</v>
      </c>
      <c r="H363">
        <v>2.16803646087646</v>
      </c>
      <c r="I363">
        <v>1.92519795894623</v>
      </c>
      <c r="J363">
        <v>1.2306880950927701</v>
      </c>
      <c r="K363">
        <v>1.8922419548034699</v>
      </c>
      <c r="L363">
        <v>1.91803658008575</v>
      </c>
      <c r="M363">
        <v>1.6129554510116599</v>
      </c>
      <c r="N363">
        <v>0.33803853392601013</v>
      </c>
      <c r="O363">
        <v>0.15456961095333099</v>
      </c>
      <c r="P363">
        <v>2.2808303833007813</v>
      </c>
      <c r="Q363">
        <v>1</v>
      </c>
      <c r="R363">
        <v>0</v>
      </c>
      <c r="S363">
        <v>0</v>
      </c>
      <c r="T363">
        <f t="shared" si="13"/>
        <v>-6.7495250368478532E-2</v>
      </c>
    </row>
    <row r="364" spans="1:20" x14ac:dyDescent="0.3">
      <c r="A364" s="4" t="s">
        <v>9</v>
      </c>
      <c r="B364" s="4">
        <v>15</v>
      </c>
      <c r="C364" s="4">
        <v>2012</v>
      </c>
      <c r="D364" s="4">
        <v>0.78100472927855202</v>
      </c>
      <c r="E364" s="2">
        <v>3.6</v>
      </c>
      <c r="F364">
        <v>1.1399999999999999</v>
      </c>
      <c r="G364" s="2">
        <v>1.65</v>
      </c>
      <c r="H364">
        <v>2.27712059020996</v>
      </c>
      <c r="I364">
        <v>1.9110356569290201</v>
      </c>
      <c r="J364">
        <v>1.1705971956253101</v>
      </c>
      <c r="K364">
        <v>1.9000388383865401</v>
      </c>
      <c r="L364">
        <v>1.92827761173248</v>
      </c>
      <c r="M364">
        <v>1.69035804271698</v>
      </c>
      <c r="N364">
        <v>0.34246706962585449</v>
      </c>
      <c r="O364">
        <v>0.43851622939109802</v>
      </c>
      <c r="P364">
        <v>2.2808303833007813</v>
      </c>
      <c r="Q364">
        <v>1</v>
      </c>
      <c r="R364">
        <v>0</v>
      </c>
      <c r="S364">
        <v>0</v>
      </c>
      <c r="T364">
        <f t="shared" si="13"/>
        <v>1.6247296798480557E-2</v>
      </c>
    </row>
    <row r="365" spans="1:20" x14ac:dyDescent="0.3">
      <c r="A365" s="4" t="s">
        <v>9</v>
      </c>
      <c r="B365" s="4">
        <v>15</v>
      </c>
      <c r="C365" s="4">
        <v>2013</v>
      </c>
      <c r="D365" s="4">
        <v>0.80016916656721504</v>
      </c>
      <c r="E365" s="2">
        <v>2.95</v>
      </c>
      <c r="F365">
        <v>1</v>
      </c>
      <c r="G365" s="2">
        <v>1.25</v>
      </c>
      <c r="H365">
        <v>2.2394266128539999</v>
      </c>
      <c r="I365">
        <v>1.7889982461929299</v>
      </c>
      <c r="J365">
        <v>1.1277780532836901</v>
      </c>
      <c r="K365">
        <v>1.8954666852951001</v>
      </c>
      <c r="L365">
        <v>1.9505981206893901</v>
      </c>
      <c r="M365">
        <v>1.65803611278534</v>
      </c>
      <c r="N365">
        <v>0.40367114543914795</v>
      </c>
      <c r="O365">
        <v>0.36627143621444702</v>
      </c>
      <c r="P365">
        <v>2.2808303833007813</v>
      </c>
      <c r="Q365">
        <v>1</v>
      </c>
      <c r="R365">
        <v>0</v>
      </c>
      <c r="S365">
        <v>0</v>
      </c>
      <c r="T365">
        <f t="shared" si="13"/>
        <v>2.4538183406861109E-2</v>
      </c>
    </row>
    <row r="366" spans="1:20" x14ac:dyDescent="0.3">
      <c r="A366" s="4" t="s">
        <v>9</v>
      </c>
      <c r="B366" s="4">
        <v>15</v>
      </c>
      <c r="C366" s="4">
        <v>2014</v>
      </c>
      <c r="D366" s="4">
        <v>0.81179591115539396</v>
      </c>
      <c r="E366" s="2">
        <v>2.4500000000000002</v>
      </c>
      <c r="F366">
        <v>1</v>
      </c>
      <c r="G366" s="2">
        <v>0.65</v>
      </c>
      <c r="H366">
        <v>2.1108539104461701</v>
      </c>
      <c r="I366">
        <v>1.68137550354004</v>
      </c>
      <c r="J366">
        <v>1.0654147863388099</v>
      </c>
      <c r="K366">
        <v>1.8051632642746001</v>
      </c>
      <c r="L366">
        <v>1.9751451015472401</v>
      </c>
      <c r="M366">
        <v>1.6110156774520901</v>
      </c>
      <c r="N366">
        <v>0.56279599666595459</v>
      </c>
      <c r="O366">
        <v>0.36024332046508789</v>
      </c>
      <c r="P366">
        <v>2.2808303833007813</v>
      </c>
      <c r="Q366">
        <v>1</v>
      </c>
      <c r="R366">
        <v>0</v>
      </c>
      <c r="S366">
        <v>0</v>
      </c>
      <c r="T366">
        <f t="shared" si="13"/>
        <v>1.4530358171708255E-2</v>
      </c>
    </row>
    <row r="367" spans="1:20" x14ac:dyDescent="0.3">
      <c r="A367" s="4" t="s">
        <v>9</v>
      </c>
      <c r="B367" s="4">
        <v>15</v>
      </c>
      <c r="C367" s="4">
        <v>2015</v>
      </c>
      <c r="D367" s="4">
        <v>0.75318167069224196</v>
      </c>
      <c r="E367" s="2">
        <v>1.95</v>
      </c>
      <c r="F367">
        <v>0</v>
      </c>
      <c r="G367" s="2">
        <v>0.15</v>
      </c>
      <c r="H367">
        <v>2.1454634666442902</v>
      </c>
      <c r="I367">
        <v>1.6848486661911</v>
      </c>
      <c r="J367">
        <v>0.93267047405242898</v>
      </c>
      <c r="K367">
        <v>1.80380487442017</v>
      </c>
      <c r="L367">
        <v>1.99032938480377</v>
      </c>
      <c r="M367">
        <v>1.5654544830322299</v>
      </c>
      <c r="N367">
        <v>0.40852883458137512</v>
      </c>
      <c r="O367">
        <v>6.0045737773180008E-2</v>
      </c>
      <c r="P367">
        <v>2.2808303833007813</v>
      </c>
      <c r="Q367">
        <v>1</v>
      </c>
      <c r="R367">
        <v>0</v>
      </c>
      <c r="S367">
        <v>0</v>
      </c>
      <c r="T367">
        <f t="shared" si="13"/>
        <v>-7.2203172814370165E-2</v>
      </c>
    </row>
    <row r="368" spans="1:20" x14ac:dyDescent="0.3">
      <c r="A368" s="4" t="s">
        <v>9</v>
      </c>
      <c r="B368" s="4">
        <v>15</v>
      </c>
      <c r="C368" s="4">
        <v>2016</v>
      </c>
      <c r="D368" s="4">
        <v>0.62213555385292596</v>
      </c>
      <c r="E368" s="2">
        <v>1.75</v>
      </c>
      <c r="F368">
        <v>-0.5</v>
      </c>
      <c r="G368" s="2">
        <v>0.1</v>
      </c>
      <c r="H368">
        <v>2.1057765483856201</v>
      </c>
      <c r="I368">
        <v>1.66307485103607</v>
      </c>
      <c r="J368">
        <v>1.00078213214874</v>
      </c>
      <c r="K368">
        <v>1.84277331829071</v>
      </c>
      <c r="L368">
        <v>1.9522848129272501</v>
      </c>
      <c r="M368">
        <v>1.56508469581604</v>
      </c>
      <c r="N368">
        <v>0.41372236609458923</v>
      </c>
      <c r="O368">
        <v>0.20908744633197784</v>
      </c>
      <c r="P368">
        <v>2.2808303833007813</v>
      </c>
      <c r="Q368">
        <v>1</v>
      </c>
      <c r="R368">
        <v>0</v>
      </c>
      <c r="S368">
        <v>0</v>
      </c>
      <c r="T368">
        <f t="shared" si="13"/>
        <v>-0.17399005039364909</v>
      </c>
    </row>
    <row r="369" spans="1:20" x14ac:dyDescent="0.3">
      <c r="A369" s="4" t="s">
        <v>9</v>
      </c>
      <c r="B369" s="4">
        <v>15</v>
      </c>
      <c r="C369" s="4">
        <v>2017</v>
      </c>
      <c r="D369" s="4">
        <v>0.60911089431893595</v>
      </c>
      <c r="E369" s="2">
        <v>1.7</v>
      </c>
      <c r="F369">
        <v>-0.5</v>
      </c>
      <c r="G369" s="2">
        <v>0.09</v>
      </c>
      <c r="H369">
        <v>2.0999631881713898</v>
      </c>
      <c r="I369">
        <v>1.6757516860961901</v>
      </c>
      <c r="J369">
        <v>0.968603014945984</v>
      </c>
      <c r="K369">
        <v>1.79004573822021</v>
      </c>
      <c r="L369">
        <v>1.8196985721588099</v>
      </c>
      <c r="M369">
        <v>1.56944692134857</v>
      </c>
      <c r="N369">
        <v>0.45907115936279297</v>
      </c>
      <c r="O369">
        <v>0.35240703821182251</v>
      </c>
      <c r="P369">
        <v>2.2808303833007813</v>
      </c>
      <c r="Q369">
        <v>1</v>
      </c>
      <c r="R369">
        <v>0</v>
      </c>
      <c r="S369">
        <v>0</v>
      </c>
      <c r="T369">
        <f t="shared" si="13"/>
        <v>-2.0935404596839787E-2</v>
      </c>
    </row>
    <row r="370" spans="1:20" x14ac:dyDescent="0.3">
      <c r="A370" s="4" t="s">
        <v>9</v>
      </c>
      <c r="B370" s="4">
        <v>15</v>
      </c>
      <c r="C370" s="4">
        <v>2018</v>
      </c>
      <c r="D370" s="4">
        <v>0.59546556028573605</v>
      </c>
      <c r="E370" s="2">
        <v>1.65</v>
      </c>
      <c r="F370" s="2">
        <v>-0.25</v>
      </c>
      <c r="G370" s="2">
        <v>0.1</v>
      </c>
      <c r="H370">
        <v>2.10963678359985</v>
      </c>
      <c r="I370">
        <v>1.6710944175720199</v>
      </c>
      <c r="J370">
        <v>0.92141759395599399</v>
      </c>
      <c r="K370">
        <v>1.82550489902496</v>
      </c>
      <c r="L370">
        <v>1.78407502174377</v>
      </c>
      <c r="M370">
        <v>1.5807973146438601</v>
      </c>
      <c r="N370">
        <v>0.3117939829826355</v>
      </c>
      <c r="O370">
        <v>0.53149813413619995</v>
      </c>
      <c r="P370">
        <v>2.2808303833007813</v>
      </c>
      <c r="Q370">
        <v>1</v>
      </c>
      <c r="R370">
        <v>0</v>
      </c>
      <c r="S370">
        <v>0</v>
      </c>
      <c r="T370">
        <f t="shared" si="13"/>
        <v>-2.2402052172219196E-2</v>
      </c>
    </row>
    <row r="371" spans="1:20" x14ac:dyDescent="0.3">
      <c r="A371" s="4" t="s">
        <v>9</v>
      </c>
      <c r="B371" s="4">
        <v>15</v>
      </c>
      <c r="C371" s="4">
        <v>2019</v>
      </c>
      <c r="D371" s="4">
        <v>0.637456781334233</v>
      </c>
      <c r="E371" s="2">
        <v>1.75</v>
      </c>
      <c r="F371" s="2">
        <v>0</v>
      </c>
      <c r="G371" s="2">
        <v>0.12</v>
      </c>
      <c r="H371">
        <v>2.0919494628906201</v>
      </c>
      <c r="I371">
        <v>1.6740124225616499</v>
      </c>
      <c r="J371">
        <v>1.01188635826111</v>
      </c>
      <c r="K371">
        <v>1.79326152801514</v>
      </c>
      <c r="L371">
        <v>1.7921615839004501</v>
      </c>
      <c r="M371">
        <v>1.5590580701828001</v>
      </c>
      <c r="N371">
        <v>0.45886415243148804</v>
      </c>
      <c r="O371">
        <v>0.5820351243019104</v>
      </c>
      <c r="P371">
        <v>2.2808303833007813</v>
      </c>
      <c r="Q371">
        <v>1</v>
      </c>
      <c r="R371">
        <v>0</v>
      </c>
      <c r="S371">
        <v>0</v>
      </c>
      <c r="T371">
        <f t="shared" si="13"/>
        <v>7.0518303406745017E-2</v>
      </c>
    </row>
    <row r="372" spans="1:20" x14ac:dyDescent="0.3">
      <c r="A372" s="4" t="s">
        <v>9</v>
      </c>
      <c r="B372" s="4">
        <v>15</v>
      </c>
      <c r="C372" s="4">
        <v>2020</v>
      </c>
      <c r="D372" s="4">
        <v>0.60005556628072299</v>
      </c>
      <c r="E372" s="2">
        <v>1.6</v>
      </c>
      <c r="F372" s="2">
        <v>0</v>
      </c>
      <c r="G372" s="2">
        <v>0.15</v>
      </c>
      <c r="H372">
        <v>2.09451055526733</v>
      </c>
      <c r="I372">
        <v>1.6700267791748</v>
      </c>
      <c r="J372">
        <v>0.99737679958343495</v>
      </c>
      <c r="K372">
        <v>1.67861640453339</v>
      </c>
      <c r="L372">
        <v>1.7674101591110201</v>
      </c>
      <c r="M372">
        <v>1.49804127216339</v>
      </c>
      <c r="N372">
        <v>0.29020088911056519</v>
      </c>
      <c r="O372">
        <v>0.62305271625518799</v>
      </c>
      <c r="P372">
        <v>2.2808303833007813</v>
      </c>
      <c r="Q372">
        <v>1</v>
      </c>
      <c r="R372">
        <v>0</v>
      </c>
      <c r="S372">
        <v>0</v>
      </c>
      <c r="T372">
        <f t="shared" si="13"/>
        <v>-5.8672550278980738E-2</v>
      </c>
    </row>
    <row r="373" spans="1:20" x14ac:dyDescent="0.3">
      <c r="A373" s="4" t="s">
        <v>9</v>
      </c>
      <c r="B373" s="4">
        <v>15</v>
      </c>
      <c r="C373" s="4">
        <v>2021</v>
      </c>
      <c r="D373" s="4">
        <v>0.51642577295572201</v>
      </c>
      <c r="E373" s="2">
        <v>1.55</v>
      </c>
      <c r="F373" s="2">
        <v>0</v>
      </c>
      <c r="G373" s="2">
        <v>0.15</v>
      </c>
      <c r="H373">
        <v>2.0984981060028098</v>
      </c>
      <c r="I373">
        <v>1.6102552413940401</v>
      </c>
      <c r="J373">
        <v>1.0145080089569101</v>
      </c>
      <c r="K373">
        <v>1.74532163143158</v>
      </c>
      <c r="L373">
        <v>1.69935715198517</v>
      </c>
      <c r="M373">
        <v>1.49274754524231</v>
      </c>
      <c r="N373">
        <v>0.38673050999641417</v>
      </c>
      <c r="O373">
        <v>0.45961609184741975</v>
      </c>
      <c r="P373">
        <v>2.2808303833007813</v>
      </c>
      <c r="Q373">
        <v>1</v>
      </c>
      <c r="R373">
        <v>0</v>
      </c>
      <c r="S373">
        <v>0</v>
      </c>
      <c r="T373">
        <f t="shared" si="13"/>
        <v>-0.13937008174652377</v>
      </c>
    </row>
    <row r="374" spans="1:20" x14ac:dyDescent="0.3">
      <c r="A374" s="4" t="s">
        <v>9</v>
      </c>
      <c r="B374" s="4">
        <v>15</v>
      </c>
      <c r="C374" s="4">
        <v>2022</v>
      </c>
      <c r="D374" s="4">
        <v>0.64314085005905697</v>
      </c>
      <c r="E374" s="2">
        <v>3.15</v>
      </c>
      <c r="F374" s="2">
        <v>2.5</v>
      </c>
      <c r="G374" s="2">
        <v>0.85</v>
      </c>
      <c r="H374">
        <v>2.0615253448486301</v>
      </c>
      <c r="I374">
        <v>1.5724048614502</v>
      </c>
      <c r="J374">
        <v>0.91090512275695801</v>
      </c>
      <c r="K374">
        <v>1.6815769672393801</v>
      </c>
      <c r="L374">
        <v>1.68850898742676</v>
      </c>
      <c r="M374">
        <v>1.52612793445587</v>
      </c>
      <c r="N374">
        <v>0.38133213877677918</v>
      </c>
      <c r="O374">
        <v>0.50972182095050811</v>
      </c>
      <c r="P374">
        <v>2.2808303833007813</v>
      </c>
      <c r="Q374">
        <v>1</v>
      </c>
      <c r="R374">
        <v>0</v>
      </c>
      <c r="S374">
        <v>0</v>
      </c>
      <c r="T374">
        <f t="shared" si="13"/>
        <v>0.24536939041227795</v>
      </c>
    </row>
    <row r="375" spans="1:20" x14ac:dyDescent="0.3">
      <c r="A375" s="4" t="s">
        <v>9</v>
      </c>
      <c r="B375" s="4">
        <v>15</v>
      </c>
      <c r="C375" s="4">
        <v>2023</v>
      </c>
      <c r="D375" s="4">
        <v>0.67025626260424298</v>
      </c>
      <c r="E375" s="2">
        <v>4.8499999999999996</v>
      </c>
      <c r="F375" s="2">
        <v>4</v>
      </c>
      <c r="G375" s="2">
        <v>2.4</v>
      </c>
      <c r="H375">
        <v>2.0282461643218999</v>
      </c>
      <c r="I375">
        <v>1.6013833284378101</v>
      </c>
      <c r="J375">
        <v>0.75836527347564697</v>
      </c>
      <c r="K375">
        <v>1.71801710128784</v>
      </c>
      <c r="L375">
        <v>1.6040234565734901</v>
      </c>
      <c r="M375">
        <v>1.5748316049575799</v>
      </c>
      <c r="N375">
        <v>0.36578433465957644</v>
      </c>
      <c r="O375">
        <v>0.54118477749824534</v>
      </c>
      <c r="P375">
        <v>2.2808303833007813</v>
      </c>
      <c r="Q375">
        <v>1</v>
      </c>
      <c r="R375">
        <v>0</v>
      </c>
      <c r="S375">
        <v>0</v>
      </c>
      <c r="T375">
        <f t="shared" si="13"/>
        <v>4.2160924069270543E-2</v>
      </c>
    </row>
    <row r="376" spans="1:20" x14ac:dyDescent="0.3">
      <c r="A376" s="4" t="s">
        <v>9</v>
      </c>
      <c r="B376" s="4">
        <v>15</v>
      </c>
      <c r="C376" s="4">
        <v>2024</v>
      </c>
      <c r="D376" s="4">
        <v>0.74025934107019697</v>
      </c>
      <c r="E376" s="2">
        <v>3.75</v>
      </c>
      <c r="F376" s="2">
        <v>2.5</v>
      </c>
      <c r="G376" s="2">
        <v>1.85</v>
      </c>
      <c r="H376">
        <v>2.0749459266662575</v>
      </c>
      <c r="I376">
        <v>1.6256165266037002</v>
      </c>
      <c r="J376">
        <v>0.93860831260681188</v>
      </c>
      <c r="K376">
        <v>1.7233587265014658</v>
      </c>
      <c r="L376">
        <v>1.7102922677993782</v>
      </c>
      <c r="M376">
        <v>1.5301612854003899</v>
      </c>
      <c r="N376">
        <v>0.37658240499496459</v>
      </c>
      <c r="O376">
        <v>0.54312210617065426</v>
      </c>
      <c r="P376">
        <v>2.2808303833007813</v>
      </c>
      <c r="Q376">
        <v>1</v>
      </c>
      <c r="R376">
        <v>0</v>
      </c>
      <c r="S376">
        <v>0</v>
      </c>
      <c r="T376">
        <f t="shared" si="13"/>
        <v>0.1044422594336694</v>
      </c>
    </row>
    <row r="377" spans="1:20" x14ac:dyDescent="0.3">
      <c r="A377" s="1" t="s">
        <v>8</v>
      </c>
      <c r="B377" s="1">
        <v>16</v>
      </c>
      <c r="C377" s="1">
        <v>2000</v>
      </c>
      <c r="D377" s="1">
        <v>9.5293713188000506</v>
      </c>
      <c r="E377">
        <v>31.566000390833299</v>
      </c>
      <c r="F377">
        <v>25</v>
      </c>
      <c r="G377">
        <v>18.0777357591666</v>
      </c>
      <c r="H377">
        <v>-0.84808623790741</v>
      </c>
      <c r="I377">
        <v>-0.54641759395599399</v>
      </c>
      <c r="J377">
        <v>-0.68286794424056996</v>
      </c>
      <c r="K377">
        <v>-0.17210157215595201</v>
      </c>
      <c r="L377">
        <v>-0.50101625919341997</v>
      </c>
      <c r="M377">
        <v>-0.37459528446197499</v>
      </c>
      <c r="N377">
        <v>0.46758660674095154</v>
      </c>
      <c r="O377">
        <v>0.23437653481960297</v>
      </c>
      <c r="P377">
        <v>2.2808303833007813</v>
      </c>
      <c r="Q377">
        <v>1</v>
      </c>
      <c r="R377">
        <v>0</v>
      </c>
      <c r="S377">
        <v>1</v>
      </c>
    </row>
    <row r="378" spans="1:20" x14ac:dyDescent="0.3">
      <c r="A378" s="1" t="s">
        <v>8</v>
      </c>
      <c r="B378" s="1">
        <v>16</v>
      </c>
      <c r="C378" s="1">
        <v>2001</v>
      </c>
      <c r="D378" s="1">
        <v>9.8769492178092104</v>
      </c>
      <c r="E378">
        <v>26.6875</v>
      </c>
      <c r="F378">
        <v>15</v>
      </c>
      <c r="G378">
        <v>14.9016666666666</v>
      </c>
      <c r="H378">
        <v>-0.81312569975853</v>
      </c>
      <c r="I378">
        <v>-0.29609343037009256</v>
      </c>
      <c r="J378">
        <v>-0.46932603418827046</v>
      </c>
      <c r="K378">
        <v>-5.7883962988853253E-2</v>
      </c>
      <c r="L378">
        <v>-0.46977381408214547</v>
      </c>
      <c r="M378">
        <v>-0.40950821340084048</v>
      </c>
      <c r="N378">
        <v>0.54356890916824341</v>
      </c>
      <c r="O378">
        <v>0.3572392463684082</v>
      </c>
      <c r="P378">
        <v>2.2808303833007813</v>
      </c>
      <c r="Q378">
        <v>1</v>
      </c>
      <c r="R378">
        <v>0</v>
      </c>
      <c r="S378">
        <v>1</v>
      </c>
      <c r="T378">
        <f>((D378-D377)/D377)</f>
        <v>3.6474378779158247E-2</v>
      </c>
    </row>
    <row r="379" spans="1:20" x14ac:dyDescent="0.3">
      <c r="A379" s="1" t="s">
        <v>8</v>
      </c>
      <c r="B379" s="1">
        <v>16</v>
      </c>
      <c r="C379" s="1">
        <v>2002</v>
      </c>
      <c r="D379" s="1">
        <v>11.104915536961199</v>
      </c>
      <c r="E379">
        <v>21.136981930552299</v>
      </c>
      <c r="F379">
        <v>13.5</v>
      </c>
      <c r="G379">
        <v>9.5987677864009004</v>
      </c>
      <c r="H379">
        <v>-0.77816516160964999</v>
      </c>
      <c r="I379">
        <v>-4.5769266784191097E-2</v>
      </c>
      <c r="J379">
        <v>-0.25578412413597101</v>
      </c>
      <c r="K379">
        <v>5.6333646178245503E-2</v>
      </c>
      <c r="L379">
        <v>-0.43853136897087103</v>
      </c>
      <c r="M379">
        <v>-0.44442114233970598</v>
      </c>
      <c r="N379">
        <v>0.38471800088882446</v>
      </c>
      <c r="O379">
        <v>0.25790652632713318</v>
      </c>
      <c r="P379">
        <v>2.2808303833007813</v>
      </c>
      <c r="Q379">
        <v>1</v>
      </c>
      <c r="R379">
        <v>0</v>
      </c>
      <c r="S379">
        <v>1</v>
      </c>
      <c r="T379">
        <f t="shared" ref="T379:T401" si="14">((D379-D378)/D378)</f>
        <v>0.12432647896354801</v>
      </c>
    </row>
    <row r="380" spans="1:20" x14ac:dyDescent="0.3">
      <c r="A380" s="1" t="s">
        <v>8</v>
      </c>
      <c r="B380" s="1">
        <v>16</v>
      </c>
      <c r="C380" s="1">
        <v>2003</v>
      </c>
      <c r="D380" s="1">
        <v>11.964827232473899</v>
      </c>
      <c r="E380">
        <v>20.829054432724799</v>
      </c>
      <c r="F380">
        <v>7</v>
      </c>
      <c r="G380">
        <v>6.8745089851657202</v>
      </c>
      <c r="H380">
        <v>-0.64902240037918102</v>
      </c>
      <c r="I380">
        <v>-0.19725370407104501</v>
      </c>
      <c r="J380">
        <v>0.236966237425804</v>
      </c>
      <c r="K380">
        <v>0.16757035255432101</v>
      </c>
      <c r="L380">
        <v>-0.302864640951157</v>
      </c>
      <c r="M380">
        <v>-0.46740618348121599</v>
      </c>
      <c r="N380">
        <v>0.46230170130729675</v>
      </c>
      <c r="O380">
        <v>0.52545851469039917</v>
      </c>
      <c r="P380">
        <v>2.2808303833007813</v>
      </c>
      <c r="Q380">
        <v>1</v>
      </c>
      <c r="R380">
        <v>0</v>
      </c>
      <c r="S380">
        <v>1</v>
      </c>
      <c r="T380">
        <f t="shared" si="14"/>
        <v>7.7435230610318581E-2</v>
      </c>
    </row>
    <row r="381" spans="1:20" x14ac:dyDescent="0.3">
      <c r="A381" s="1" t="s">
        <v>8</v>
      </c>
      <c r="B381" s="1">
        <v>16</v>
      </c>
      <c r="C381" s="1">
        <v>2004</v>
      </c>
      <c r="D381" s="1">
        <v>22.0185694314846</v>
      </c>
      <c r="E381">
        <v>18.6332851199601</v>
      </c>
      <c r="F381">
        <v>3.75</v>
      </c>
      <c r="G381">
        <v>4.8960172938137303</v>
      </c>
      <c r="H381">
        <v>-0.70345532894134499</v>
      </c>
      <c r="I381">
        <v>-0.11826344579458201</v>
      </c>
      <c r="J381">
        <v>-0.116337485611439</v>
      </c>
      <c r="K381">
        <v>0.10925000160932501</v>
      </c>
      <c r="L381">
        <v>-0.48195061087608299</v>
      </c>
      <c r="M381">
        <v>-0.57216554880142201</v>
      </c>
      <c r="N381">
        <v>0.45461335778236389</v>
      </c>
      <c r="O381">
        <v>0.52682554721832275</v>
      </c>
      <c r="P381">
        <v>2.2808303833007813</v>
      </c>
      <c r="Q381">
        <v>1</v>
      </c>
      <c r="R381">
        <v>0</v>
      </c>
      <c r="S381">
        <v>1</v>
      </c>
      <c r="T381">
        <f t="shared" si="14"/>
        <v>0.8402747489511343</v>
      </c>
    </row>
    <row r="382" spans="1:20" x14ac:dyDescent="0.3">
      <c r="A382" s="1" t="s">
        <v>8</v>
      </c>
      <c r="B382" s="1">
        <v>16</v>
      </c>
      <c r="C382" s="1">
        <v>2005</v>
      </c>
      <c r="D382" s="1">
        <v>18.676397429011701</v>
      </c>
      <c r="E382">
        <v>17.984272893041201</v>
      </c>
      <c r="F382">
        <v>3.5</v>
      </c>
      <c r="G382">
        <v>5.8131399352467303</v>
      </c>
      <c r="H382">
        <v>-0.68334984779357899</v>
      </c>
      <c r="I382">
        <v>-0.14249780774116499</v>
      </c>
      <c r="J382">
        <v>-6.6335394978523296E-2</v>
      </c>
      <c r="K382">
        <v>8.9062668383121504E-2</v>
      </c>
      <c r="L382">
        <v>-0.38877674937248202</v>
      </c>
      <c r="M382">
        <v>-0.59136331081390403</v>
      </c>
      <c r="N382">
        <v>0.2705223560333252</v>
      </c>
      <c r="O382">
        <v>0.50213301181793213</v>
      </c>
      <c r="P382">
        <v>2.2808303833007813</v>
      </c>
      <c r="Q382">
        <v>1</v>
      </c>
      <c r="R382">
        <v>0</v>
      </c>
      <c r="S382">
        <v>1</v>
      </c>
      <c r="T382">
        <f t="shared" si="14"/>
        <v>-0.15178878958838671</v>
      </c>
    </row>
    <row r="383" spans="1:20" x14ac:dyDescent="0.3">
      <c r="A383" s="1" t="s">
        <v>8</v>
      </c>
      <c r="B383" s="1">
        <v>16</v>
      </c>
      <c r="C383" s="1">
        <v>2006</v>
      </c>
      <c r="D383" s="1">
        <v>18.312817614090299</v>
      </c>
      <c r="E383">
        <v>16.525103710924601</v>
      </c>
      <c r="F383">
        <v>4.75</v>
      </c>
      <c r="G383">
        <v>5.8366897068459798</v>
      </c>
      <c r="H383">
        <v>-0.66923260688781705</v>
      </c>
      <c r="I383">
        <v>-0.26150292158126798</v>
      </c>
      <c r="J383">
        <v>-0.261023759841919</v>
      </c>
      <c r="K383">
        <v>0.292330682277679</v>
      </c>
      <c r="L383">
        <v>-0.54456734657287598</v>
      </c>
      <c r="M383">
        <v>-0.74222278594970703</v>
      </c>
      <c r="N383">
        <v>0.36833387613296509</v>
      </c>
      <c r="O383">
        <v>0.49973130226135254</v>
      </c>
      <c r="P383">
        <v>2.2808303833007813</v>
      </c>
      <c r="Q383">
        <v>1</v>
      </c>
      <c r="R383">
        <v>0</v>
      </c>
      <c r="S383">
        <v>1</v>
      </c>
      <c r="T383">
        <f t="shared" si="14"/>
        <v>-1.9467341938045311E-2</v>
      </c>
    </row>
    <row r="384" spans="1:20" x14ac:dyDescent="0.3">
      <c r="A384" s="1" t="s">
        <v>8</v>
      </c>
      <c r="B384" s="1">
        <v>16</v>
      </c>
      <c r="C384" s="1">
        <v>2007</v>
      </c>
      <c r="D384" s="1">
        <v>17.861408642120001</v>
      </c>
      <c r="E384">
        <v>17.5156853679268</v>
      </c>
      <c r="F384">
        <v>5.75</v>
      </c>
      <c r="G384">
        <v>6.2543032367120599</v>
      </c>
      <c r="H384">
        <v>-0.74589169025421098</v>
      </c>
      <c r="I384">
        <v>-0.381906569004059</v>
      </c>
      <c r="J384">
        <v>0.15090583264827701</v>
      </c>
      <c r="K384">
        <v>0.26520717144012501</v>
      </c>
      <c r="L384">
        <v>-0.49651804566383401</v>
      </c>
      <c r="M384">
        <v>-0.75937789678573597</v>
      </c>
      <c r="N384">
        <v>0.32558107376098633</v>
      </c>
      <c r="O384">
        <v>0.64492380619049072</v>
      </c>
      <c r="P384">
        <v>2.2808303833007813</v>
      </c>
      <c r="Q384">
        <v>1</v>
      </c>
      <c r="R384">
        <v>0</v>
      </c>
      <c r="S384">
        <v>1</v>
      </c>
      <c r="T384">
        <f t="shared" si="14"/>
        <v>-2.4649891757944138E-2</v>
      </c>
    </row>
    <row r="385" spans="1:20" x14ac:dyDescent="0.3">
      <c r="A385" s="1" t="s">
        <v>8</v>
      </c>
      <c r="B385" s="1">
        <v>16</v>
      </c>
      <c r="C385" s="1">
        <v>2008</v>
      </c>
      <c r="D385" s="1">
        <v>16.3270491787545</v>
      </c>
      <c r="E385">
        <v>17.049482733602702</v>
      </c>
      <c r="F385">
        <v>7.25</v>
      </c>
      <c r="G385">
        <v>6.62801860934559</v>
      </c>
      <c r="H385">
        <v>-0.71241235733032204</v>
      </c>
      <c r="I385">
        <v>-0.17795258760452301</v>
      </c>
      <c r="J385">
        <v>-6.8530277349054796E-3</v>
      </c>
      <c r="K385">
        <v>0.30093985795974698</v>
      </c>
      <c r="L385">
        <v>-0.33775135874748202</v>
      </c>
      <c r="M385">
        <v>-0.85762965679168701</v>
      </c>
      <c r="N385">
        <v>0.6197812557220459</v>
      </c>
      <c r="O385">
        <v>0.71216332912445068</v>
      </c>
      <c r="P385">
        <v>2.2808303833007813</v>
      </c>
      <c r="Q385">
        <v>1</v>
      </c>
      <c r="R385">
        <v>0</v>
      </c>
      <c r="S385">
        <v>1</v>
      </c>
      <c r="T385">
        <f t="shared" si="14"/>
        <v>-8.5903608954292707E-2</v>
      </c>
    </row>
    <row r="386" spans="1:20" x14ac:dyDescent="0.3">
      <c r="A386" s="1" t="s">
        <v>8</v>
      </c>
      <c r="B386" s="1">
        <v>16</v>
      </c>
      <c r="C386" s="1">
        <v>2009</v>
      </c>
      <c r="D386" s="1">
        <v>16.649164050982101</v>
      </c>
      <c r="E386">
        <v>18.764470594602098</v>
      </c>
      <c r="F386">
        <v>5</v>
      </c>
      <c r="G386">
        <v>8.6529286309926405</v>
      </c>
      <c r="H386">
        <v>-0.62145966291427601</v>
      </c>
      <c r="I386">
        <v>-2.6895642280578599E-2</v>
      </c>
      <c r="J386">
        <v>0.22786335647106201</v>
      </c>
      <c r="K386">
        <v>0.273454070091248</v>
      </c>
      <c r="L386">
        <v>-0.46871069073677102</v>
      </c>
      <c r="M386">
        <v>-0.87642025947570801</v>
      </c>
      <c r="N386">
        <v>0.15382935106754303</v>
      </c>
      <c r="O386">
        <v>0.62517905235290527</v>
      </c>
      <c r="P386">
        <v>2.2808303833007813</v>
      </c>
      <c r="Q386">
        <v>1</v>
      </c>
      <c r="R386">
        <v>0</v>
      </c>
      <c r="S386">
        <v>1</v>
      </c>
      <c r="T386">
        <f t="shared" si="14"/>
        <v>1.9728909290403301E-2</v>
      </c>
    </row>
    <row r="387" spans="1:20" x14ac:dyDescent="0.3">
      <c r="A387" s="1" t="s">
        <v>8</v>
      </c>
      <c r="B387" s="1">
        <v>16</v>
      </c>
      <c r="C387" s="1">
        <v>2010</v>
      </c>
      <c r="D387" s="1">
        <v>18.0268391620613</v>
      </c>
      <c r="E387">
        <v>19.200428314312099</v>
      </c>
      <c r="F387">
        <v>7.25</v>
      </c>
      <c r="G387">
        <v>8.9502589253369198</v>
      </c>
      <c r="H387">
        <v>-0.69503957033157304</v>
      </c>
      <c r="I387">
        <v>-0.17152315378189101</v>
      </c>
      <c r="J387">
        <v>7.1855328977108002E-2</v>
      </c>
      <c r="K387">
        <v>0.26894655823707603</v>
      </c>
      <c r="L387">
        <v>-0.48135831952094998</v>
      </c>
      <c r="M387">
        <v>-0.84752154350280795</v>
      </c>
      <c r="N387">
        <v>0.31032282114028931</v>
      </c>
      <c r="O387">
        <v>0.61536878347396851</v>
      </c>
      <c r="P387">
        <v>2.2808303833007813</v>
      </c>
      <c r="Q387">
        <v>1</v>
      </c>
      <c r="R387">
        <v>0</v>
      </c>
      <c r="S387">
        <v>1</v>
      </c>
      <c r="T387">
        <f t="shared" si="14"/>
        <v>8.2747404425865631E-2</v>
      </c>
    </row>
    <row r="388" spans="1:20" x14ac:dyDescent="0.3">
      <c r="A388" s="1" t="s">
        <v>8</v>
      </c>
      <c r="B388" s="1">
        <v>16</v>
      </c>
      <c r="C388" s="1">
        <v>2011</v>
      </c>
      <c r="D388" s="1">
        <v>17.734222648798099</v>
      </c>
      <c r="E388">
        <v>17.754473785416799</v>
      </c>
      <c r="F388">
        <v>8</v>
      </c>
      <c r="G388">
        <v>9.2480433144904008</v>
      </c>
      <c r="H388">
        <v>-0.66455942392349199</v>
      </c>
      <c r="I388">
        <v>-0.11502830684185</v>
      </c>
      <c r="J388">
        <v>-6.3868984580040006E-2</v>
      </c>
      <c r="K388">
        <v>0.246940597891808</v>
      </c>
      <c r="L388">
        <v>-0.43770641088485701</v>
      </c>
      <c r="M388">
        <v>-0.69077980518341098</v>
      </c>
      <c r="N388">
        <v>0.44762489199638367</v>
      </c>
      <c r="O388">
        <v>0.75540918111801147</v>
      </c>
      <c r="P388">
        <v>2.2808303833007813</v>
      </c>
      <c r="Q388">
        <v>1</v>
      </c>
      <c r="R388">
        <v>0</v>
      </c>
      <c r="S388">
        <v>1</v>
      </c>
      <c r="T388">
        <f t="shared" si="14"/>
        <v>-1.6232269597158924E-2</v>
      </c>
    </row>
    <row r="389" spans="1:20" x14ac:dyDescent="0.3">
      <c r="A389" s="1" t="s">
        <v>8</v>
      </c>
      <c r="B389" s="1">
        <v>16</v>
      </c>
      <c r="C389" s="1">
        <v>2012</v>
      </c>
      <c r="D389" s="1">
        <v>18.0330178717679</v>
      </c>
      <c r="E389">
        <v>17.230068238183499</v>
      </c>
      <c r="F389">
        <v>8</v>
      </c>
      <c r="G389">
        <v>9.5691100136267995</v>
      </c>
      <c r="H389">
        <v>-0.588001489639282</v>
      </c>
      <c r="I389">
        <v>-3.2386623322963701E-2</v>
      </c>
      <c r="J389">
        <v>0.154794976115227</v>
      </c>
      <c r="K389">
        <v>0.33427339792251598</v>
      </c>
      <c r="L389">
        <v>-0.41828197240829501</v>
      </c>
      <c r="M389">
        <v>-0.57049143314361594</v>
      </c>
      <c r="N389">
        <v>0.39206200838088989</v>
      </c>
      <c r="O389">
        <v>0.70551186800003052</v>
      </c>
      <c r="P389">
        <v>2.2808303833007813</v>
      </c>
      <c r="Q389">
        <v>1</v>
      </c>
      <c r="R389">
        <v>0</v>
      </c>
      <c r="S389">
        <v>1</v>
      </c>
      <c r="T389">
        <f t="shared" si="14"/>
        <v>1.6848509736627854E-2</v>
      </c>
    </row>
    <row r="390" spans="1:20" x14ac:dyDescent="0.3">
      <c r="A390" s="1" t="s">
        <v>8</v>
      </c>
      <c r="B390" s="1">
        <v>16</v>
      </c>
      <c r="C390" s="1">
        <v>2013</v>
      </c>
      <c r="D390" s="1">
        <v>19.7113773941979</v>
      </c>
      <c r="E390">
        <v>15.994987367976901</v>
      </c>
      <c r="F390">
        <v>7.75</v>
      </c>
      <c r="G390">
        <v>10.160265288680099</v>
      </c>
      <c r="H390">
        <v>-0.53053343296051003</v>
      </c>
      <c r="I390">
        <v>7.8317284584045396E-2</v>
      </c>
      <c r="J390">
        <v>0.11038514226675</v>
      </c>
      <c r="K390">
        <v>0.23518268764019001</v>
      </c>
      <c r="L390">
        <v>-0.34088894724845897</v>
      </c>
      <c r="M390">
        <v>-0.58809924125671398</v>
      </c>
      <c r="N390">
        <v>0.45419800281524658</v>
      </c>
      <c r="O390">
        <v>0.44772130250930786</v>
      </c>
      <c r="P390">
        <v>2.2808303833007813</v>
      </c>
      <c r="Q390">
        <v>1</v>
      </c>
      <c r="R390">
        <v>0</v>
      </c>
      <c r="S390">
        <v>1</v>
      </c>
      <c r="T390">
        <f t="shared" si="14"/>
        <v>9.3071472249667275E-2</v>
      </c>
    </row>
    <row r="391" spans="1:20" x14ac:dyDescent="0.3">
      <c r="A391" s="1" t="s">
        <v>8</v>
      </c>
      <c r="B391" s="1">
        <v>16</v>
      </c>
      <c r="C391" s="1">
        <v>2014</v>
      </c>
      <c r="D391" s="1">
        <v>17.904439838376302</v>
      </c>
      <c r="E391">
        <v>16.408665262708901</v>
      </c>
      <c r="F391">
        <v>8.5</v>
      </c>
      <c r="G391">
        <v>10.425785029438501</v>
      </c>
      <c r="H391">
        <v>-0.56544679403305098</v>
      </c>
      <c r="I391">
        <v>-0.257329761981964</v>
      </c>
      <c r="J391">
        <v>-0.297135800123215</v>
      </c>
      <c r="K391">
        <v>0.15851990878582001</v>
      </c>
      <c r="L391">
        <v>-0.41772675514221203</v>
      </c>
      <c r="M391">
        <v>-0.56213200092315696</v>
      </c>
      <c r="N391">
        <v>0.25147122144699097</v>
      </c>
      <c r="O391">
        <v>0.45006313920021057</v>
      </c>
      <c r="P391">
        <v>2.2808303833007813</v>
      </c>
      <c r="Q391">
        <v>1</v>
      </c>
      <c r="R391">
        <v>0</v>
      </c>
      <c r="S391">
        <v>1</v>
      </c>
      <c r="T391">
        <f t="shared" si="14"/>
        <v>-9.1669776276186332E-2</v>
      </c>
    </row>
    <row r="392" spans="1:20" x14ac:dyDescent="0.3">
      <c r="A392" s="1" t="s">
        <v>8</v>
      </c>
      <c r="B392" s="1">
        <v>16</v>
      </c>
      <c r="C392" s="1">
        <v>2015</v>
      </c>
      <c r="D392" s="1">
        <v>14.132741427705399</v>
      </c>
      <c r="E392">
        <v>17.590330317752901</v>
      </c>
      <c r="F392">
        <v>8.75</v>
      </c>
      <c r="G392">
        <v>14.1481591743433</v>
      </c>
      <c r="H392">
        <v>-0.609746634960175</v>
      </c>
      <c r="I392">
        <v>-0.33178961277008101</v>
      </c>
      <c r="J392">
        <v>-0.25679865479469299</v>
      </c>
      <c r="K392">
        <v>0.18917684257030501</v>
      </c>
      <c r="L392">
        <v>-0.46255132555961598</v>
      </c>
      <c r="M392">
        <v>-0.53627383708953902</v>
      </c>
      <c r="N392">
        <v>0.45276227593421936</v>
      </c>
      <c r="O392">
        <v>0.58876436948776245</v>
      </c>
      <c r="P392">
        <v>2.2808303833007813</v>
      </c>
      <c r="Q392">
        <v>1</v>
      </c>
      <c r="R392">
        <v>0</v>
      </c>
      <c r="S392">
        <v>1</v>
      </c>
      <c r="T392">
        <f t="shared" si="14"/>
        <v>-0.2106571579294349</v>
      </c>
    </row>
    <row r="393" spans="1:20" x14ac:dyDescent="0.3">
      <c r="A393" s="1" t="s">
        <v>8</v>
      </c>
      <c r="B393" s="1">
        <v>16</v>
      </c>
      <c r="C393" s="1">
        <v>2016</v>
      </c>
      <c r="D393" s="1">
        <v>13.1074628255062</v>
      </c>
      <c r="E393">
        <v>17.356706114633301</v>
      </c>
      <c r="F393">
        <v>6.25</v>
      </c>
      <c r="G393">
        <v>11.6156571999544</v>
      </c>
      <c r="H393">
        <v>-0.65979522466659501</v>
      </c>
      <c r="I393">
        <v>-0.31255441904067999</v>
      </c>
      <c r="J393">
        <v>-0.66795110702514604</v>
      </c>
      <c r="K393">
        <v>0.20515838265419001</v>
      </c>
      <c r="L393">
        <v>-0.16089449822902699</v>
      </c>
      <c r="M393">
        <v>-0.57909262180328402</v>
      </c>
      <c r="N393">
        <v>0.5369153618812561</v>
      </c>
      <c r="O393">
        <v>0.69045531749725342</v>
      </c>
      <c r="P393">
        <v>1.595334529876709</v>
      </c>
      <c r="Q393">
        <v>0.83756804466247559</v>
      </c>
      <c r="R393">
        <v>0</v>
      </c>
      <c r="S393">
        <v>1</v>
      </c>
      <c r="T393">
        <f t="shared" si="14"/>
        <v>-7.2546335574305065E-2</v>
      </c>
    </row>
    <row r="394" spans="1:20" x14ac:dyDescent="0.3">
      <c r="A394" s="1" t="s">
        <v>8</v>
      </c>
      <c r="B394" s="1">
        <v>16</v>
      </c>
      <c r="C394" s="1">
        <v>2017</v>
      </c>
      <c r="D394" s="1">
        <v>13.347744638399901</v>
      </c>
      <c r="E394">
        <v>14.406001675832799</v>
      </c>
      <c r="F394">
        <v>6</v>
      </c>
      <c r="G394">
        <v>9.0133349794731199</v>
      </c>
      <c r="H394">
        <v>-0.63701516389846802</v>
      </c>
      <c r="I394">
        <v>-0.25155001878738398</v>
      </c>
      <c r="J394">
        <v>-0.62621116638183605</v>
      </c>
      <c r="K394">
        <v>0.22839732468128199</v>
      </c>
      <c r="L394">
        <v>-0.20939391851425199</v>
      </c>
      <c r="M394">
        <v>-0.56067043542861905</v>
      </c>
      <c r="N394">
        <v>0.68407279253005981</v>
      </c>
      <c r="O394">
        <v>0.50670361518859863</v>
      </c>
      <c r="P394">
        <v>1.595334529876709</v>
      </c>
      <c r="Q394">
        <v>0.83756804466247559</v>
      </c>
      <c r="R394">
        <v>0</v>
      </c>
      <c r="S394">
        <v>1</v>
      </c>
      <c r="T394">
        <f t="shared" si="14"/>
        <v>1.8331679905750242E-2</v>
      </c>
    </row>
    <row r="395" spans="1:20" x14ac:dyDescent="0.3">
      <c r="A395" s="1" t="s">
        <v>8</v>
      </c>
      <c r="B395" s="1">
        <v>16</v>
      </c>
      <c r="C395" s="1">
        <v>2018</v>
      </c>
      <c r="D395" s="1">
        <v>11.942703408285301</v>
      </c>
      <c r="E395">
        <v>12.793041927804</v>
      </c>
      <c r="F395">
        <v>6</v>
      </c>
      <c r="G395">
        <v>8.6637305943608602</v>
      </c>
      <c r="H395">
        <v>-0.40936943888664201</v>
      </c>
      <c r="I395">
        <v>-0.17058266699314101</v>
      </c>
      <c r="J395">
        <v>-0.45106691122055098</v>
      </c>
      <c r="K395">
        <v>0.35059028863906899</v>
      </c>
      <c r="L395">
        <v>-0.197214365005493</v>
      </c>
      <c r="M395">
        <v>-0.13096515834331501</v>
      </c>
      <c r="N395">
        <v>0.70551580190658569</v>
      </c>
      <c r="O395">
        <v>0.2352193146944046</v>
      </c>
      <c r="P395">
        <v>1.595334529876709</v>
      </c>
      <c r="Q395">
        <v>0.83756804466247559</v>
      </c>
      <c r="R395">
        <v>0</v>
      </c>
      <c r="S395">
        <v>1</v>
      </c>
      <c r="T395">
        <f t="shared" si="14"/>
        <v>-0.10526431754413856</v>
      </c>
    </row>
    <row r="396" spans="1:20" x14ac:dyDescent="0.3">
      <c r="A396" s="1" t="s">
        <v>8</v>
      </c>
      <c r="B396" s="1">
        <v>16</v>
      </c>
      <c r="C396" s="1">
        <v>2019</v>
      </c>
      <c r="D396" s="1">
        <v>11.218921077229799</v>
      </c>
      <c r="E396">
        <v>12.1419889531682</v>
      </c>
      <c r="F396">
        <v>5.5</v>
      </c>
      <c r="G396">
        <v>8.4869511031613101</v>
      </c>
      <c r="H396">
        <v>-0.22703985869884499</v>
      </c>
      <c r="I396">
        <v>-0.22604596614837599</v>
      </c>
      <c r="J396">
        <v>-0.42002499103546098</v>
      </c>
      <c r="K396">
        <v>0.242604270577431</v>
      </c>
      <c r="L396">
        <v>-0.177464514970779</v>
      </c>
      <c r="M396">
        <v>5.4788209497928599E-2</v>
      </c>
      <c r="N396">
        <v>0.64167678356170654</v>
      </c>
      <c r="O396">
        <v>0.1286599338054657</v>
      </c>
      <c r="P396">
        <v>1.595334529876709</v>
      </c>
      <c r="Q396">
        <v>0.83756804466247559</v>
      </c>
      <c r="R396">
        <v>0</v>
      </c>
      <c r="S396">
        <v>1</v>
      </c>
      <c r="T396">
        <f t="shared" si="14"/>
        <v>-6.0604563833794457E-2</v>
      </c>
    </row>
    <row r="397" spans="1:20" x14ac:dyDescent="0.3">
      <c r="A397" s="1" t="s">
        <v>8</v>
      </c>
      <c r="B397" s="1">
        <v>16</v>
      </c>
      <c r="C397" s="1">
        <v>2020</v>
      </c>
      <c r="D397" s="1">
        <v>10.497055254126501</v>
      </c>
      <c r="E397">
        <v>11.6198425058429</v>
      </c>
      <c r="F397">
        <v>5.25</v>
      </c>
      <c r="G397">
        <v>8.1178915547309298</v>
      </c>
      <c r="H397">
        <v>-3.4749738406389999E-3</v>
      </c>
      <c r="I397">
        <v>-0.304547429084778</v>
      </c>
      <c r="J397">
        <v>-0.77164489030838002</v>
      </c>
      <c r="K397">
        <v>0.238748028874397</v>
      </c>
      <c r="L397">
        <v>-0.12583142518997201</v>
      </c>
      <c r="M397">
        <v>4.7347892075777102E-2</v>
      </c>
      <c r="N397">
        <v>0.28822752833366394</v>
      </c>
      <c r="O397">
        <v>0.10722769796848297</v>
      </c>
      <c r="P397">
        <v>1.595334529876709</v>
      </c>
      <c r="Q397">
        <v>0.83756804466247559</v>
      </c>
      <c r="R397">
        <v>0</v>
      </c>
      <c r="S397">
        <v>1</v>
      </c>
      <c r="T397">
        <f t="shared" si="14"/>
        <v>-6.4343604713328034E-2</v>
      </c>
    </row>
    <row r="398" spans="1:20" x14ac:dyDescent="0.3">
      <c r="A398" s="1" t="s">
        <v>8</v>
      </c>
      <c r="B398" s="1">
        <v>16</v>
      </c>
      <c r="C398" s="1">
        <v>2021</v>
      </c>
      <c r="D398" s="1">
        <v>11.2171827452107</v>
      </c>
      <c r="E398">
        <v>11.7619087610201</v>
      </c>
      <c r="F398">
        <v>7.75</v>
      </c>
      <c r="G398">
        <v>8.2415265634188106</v>
      </c>
      <c r="H398">
        <v>4.8684645444154698E-2</v>
      </c>
      <c r="I398">
        <v>-0.282197445631027</v>
      </c>
      <c r="J398">
        <v>-0.804041028022766</v>
      </c>
      <c r="K398">
        <v>0.131828442215919</v>
      </c>
      <c r="L398">
        <v>-0.119838461279869</v>
      </c>
      <c r="M398">
        <v>5.4160796105861699E-2</v>
      </c>
      <c r="N398">
        <v>0.57128165364265437</v>
      </c>
      <c r="O398">
        <v>0.33365317583084109</v>
      </c>
      <c r="P398">
        <v>1.595334529876709</v>
      </c>
      <c r="Q398">
        <v>0.83756804466247559</v>
      </c>
      <c r="R398">
        <v>0</v>
      </c>
      <c r="S398">
        <v>1</v>
      </c>
      <c r="T398">
        <f t="shared" si="14"/>
        <v>6.8602810373996015E-2</v>
      </c>
    </row>
    <row r="399" spans="1:20" x14ac:dyDescent="0.3">
      <c r="A399" s="1" t="s">
        <v>8</v>
      </c>
      <c r="B399" s="1">
        <v>16</v>
      </c>
      <c r="C399" s="1">
        <v>2022</v>
      </c>
      <c r="D399" s="1">
        <v>10.8688335174113</v>
      </c>
      <c r="E399">
        <v>11.719413956637201</v>
      </c>
      <c r="F399">
        <v>10.75</v>
      </c>
      <c r="G399">
        <v>8.4742028123543793</v>
      </c>
      <c r="H399">
        <v>2.79071740806103E-2</v>
      </c>
      <c r="I399">
        <v>-0.31479236483573902</v>
      </c>
      <c r="J399">
        <v>-0.74075627326965299</v>
      </c>
      <c r="K399">
        <v>-1.9078802317380902E-2</v>
      </c>
      <c r="L399">
        <v>-0.16951580345630601</v>
      </c>
      <c r="M399">
        <v>9.0325817465782193E-2</v>
      </c>
      <c r="N399">
        <v>0.57815491199493407</v>
      </c>
      <c r="O399">
        <v>0.2622927474975586</v>
      </c>
      <c r="P399">
        <v>2.2808303833007813</v>
      </c>
      <c r="Q399">
        <v>1</v>
      </c>
      <c r="R399">
        <v>0</v>
      </c>
      <c r="S399">
        <v>1</v>
      </c>
      <c r="T399">
        <f t="shared" si="14"/>
        <v>-3.1054965913623112E-2</v>
      </c>
    </row>
    <row r="400" spans="1:20" x14ac:dyDescent="0.3">
      <c r="A400" s="1" t="s">
        <v>8</v>
      </c>
      <c r="B400" s="1">
        <v>16</v>
      </c>
      <c r="C400" s="1">
        <v>2023</v>
      </c>
      <c r="D400" s="1">
        <v>6.3962109861755296</v>
      </c>
      <c r="E400">
        <v>12.385239068097601</v>
      </c>
      <c r="F400">
        <v>9.25</v>
      </c>
      <c r="G400">
        <v>8.3626652610507506</v>
      </c>
      <c r="H400">
        <v>5.8399647474288899E-2</v>
      </c>
      <c r="I400">
        <v>-0.184129968285561</v>
      </c>
      <c r="J400">
        <v>-0.82927823066711404</v>
      </c>
      <c r="K400">
        <v>4.7635018825530999E-2</v>
      </c>
      <c r="L400">
        <v>-0.122017979621887</v>
      </c>
      <c r="M400">
        <v>7.6707556843757602E-2</v>
      </c>
      <c r="N400">
        <v>0.55697133588790904</v>
      </c>
      <c r="O400">
        <v>0.21341057395935059</v>
      </c>
      <c r="P400">
        <v>2.2808303833007813</v>
      </c>
      <c r="Q400">
        <v>1</v>
      </c>
      <c r="R400">
        <v>0</v>
      </c>
      <c r="S400">
        <v>1</v>
      </c>
      <c r="T400">
        <f t="shared" si="14"/>
        <v>-0.41150897417564308</v>
      </c>
    </row>
    <row r="401" spans="1:20" x14ac:dyDescent="0.3">
      <c r="A401" s="1" t="s">
        <v>8</v>
      </c>
      <c r="B401" s="1">
        <v>16</v>
      </c>
      <c r="C401" s="1">
        <v>2024</v>
      </c>
      <c r="D401" s="1">
        <v>4.9246877578142296</v>
      </c>
      <c r="E401">
        <v>13.149294481602</v>
      </c>
      <c r="F401">
        <v>7</v>
      </c>
      <c r="G401">
        <v>8.1483183758701792</v>
      </c>
      <c r="H401">
        <v>-1.9104673108086015E-2</v>
      </c>
      <c r="I401">
        <v>-0.26234263479709619</v>
      </c>
      <c r="J401">
        <v>-0.71314908266067489</v>
      </c>
      <c r="K401">
        <v>0.12834739163517944</v>
      </c>
      <c r="L401">
        <v>-0.1429336369037626</v>
      </c>
      <c r="M401">
        <v>6.4666054397821443E-2</v>
      </c>
      <c r="N401">
        <v>0.52726244268417355</v>
      </c>
      <c r="O401">
        <v>0.2090488258123398</v>
      </c>
      <c r="P401">
        <v>2.2808303833007813</v>
      </c>
      <c r="Q401">
        <v>1</v>
      </c>
      <c r="R401">
        <v>0</v>
      </c>
      <c r="S401">
        <v>1</v>
      </c>
      <c r="T401">
        <f t="shared" si="14"/>
        <v>-0.23006170864935213</v>
      </c>
    </row>
    <row r="402" spans="1:20" x14ac:dyDescent="0.3">
      <c r="A402" s="1" t="s">
        <v>7</v>
      </c>
      <c r="B402" s="1">
        <v>17</v>
      </c>
      <c r="C402" s="1">
        <v>2000</v>
      </c>
      <c r="D402" s="1">
        <v>0.124329962416334</v>
      </c>
      <c r="E402">
        <v>7.7166666666666597</v>
      </c>
      <c r="F402">
        <v>6.25</v>
      </c>
      <c r="G402">
        <v>4.9069915254237202</v>
      </c>
      <c r="H402">
        <v>1.86208832263947</v>
      </c>
      <c r="I402">
        <v>1.7321702241897601</v>
      </c>
      <c r="J402">
        <v>1.3339647054672199</v>
      </c>
      <c r="K402">
        <v>1.5756134986877399</v>
      </c>
      <c r="L402">
        <v>1.72206687927246</v>
      </c>
      <c r="M402">
        <v>1.4713051319122299</v>
      </c>
      <c r="N402">
        <v>0.21945478022098541</v>
      </c>
      <c r="O402">
        <v>6.3149221241474152E-2</v>
      </c>
      <c r="P402">
        <v>1.0219684839248657</v>
      </c>
      <c r="Q402">
        <v>0.70170581340789795</v>
      </c>
      <c r="R402">
        <v>0</v>
      </c>
      <c r="S402">
        <v>0</v>
      </c>
    </row>
    <row r="403" spans="1:20" x14ac:dyDescent="0.3">
      <c r="A403" s="1" t="s">
        <v>7</v>
      </c>
      <c r="B403" s="1">
        <v>17</v>
      </c>
      <c r="C403" s="1">
        <v>2001</v>
      </c>
      <c r="D403" s="1">
        <v>0.12796939757855499</v>
      </c>
      <c r="E403">
        <v>6.8416666666666597</v>
      </c>
      <c r="F403">
        <v>4.25</v>
      </c>
      <c r="G403">
        <v>3.7374999999999901</v>
      </c>
      <c r="H403">
        <v>1.81176233291626</v>
      </c>
      <c r="I403">
        <v>1.6956844329834</v>
      </c>
      <c r="J403">
        <v>1.2616896629333501</v>
      </c>
      <c r="K403">
        <v>1.4983845353126499</v>
      </c>
      <c r="L403">
        <v>1.744556725025175</v>
      </c>
      <c r="M403">
        <v>1.43926918506622</v>
      </c>
      <c r="N403">
        <v>0.19067525863647461</v>
      </c>
      <c r="O403">
        <v>0.2421419769525528</v>
      </c>
      <c r="P403">
        <v>1.0219684839248657</v>
      </c>
      <c r="Q403">
        <v>0.70170581340789795</v>
      </c>
      <c r="R403">
        <v>0</v>
      </c>
      <c r="S403">
        <v>0</v>
      </c>
      <c r="T403">
        <f>((D403-D402)/D402)</f>
        <v>2.9272390110067804E-2</v>
      </c>
    </row>
    <row r="404" spans="1:20" x14ac:dyDescent="0.3">
      <c r="A404" s="1" t="s">
        <v>7</v>
      </c>
      <c r="B404" s="1">
        <v>17</v>
      </c>
      <c r="C404" s="1">
        <v>2002</v>
      </c>
      <c r="D404" s="1">
        <v>0.117477070111245</v>
      </c>
      <c r="E404">
        <v>6.3624999999999998</v>
      </c>
      <c r="F404">
        <v>4.75</v>
      </c>
      <c r="G404">
        <v>3.7</v>
      </c>
      <c r="H404">
        <v>1.76143634319305</v>
      </c>
      <c r="I404">
        <v>1.6591986417770399</v>
      </c>
      <c r="J404">
        <v>1.18941462039948</v>
      </c>
      <c r="K404">
        <v>1.4211555719375599</v>
      </c>
      <c r="L404">
        <v>1.76704657077789</v>
      </c>
      <c r="M404">
        <v>1.40723323822021</v>
      </c>
      <c r="N404">
        <v>0.32025724649429321</v>
      </c>
      <c r="O404">
        <v>0.48232990503311157</v>
      </c>
      <c r="P404">
        <v>1.0219684839248657</v>
      </c>
      <c r="Q404">
        <v>0.70170581340789795</v>
      </c>
      <c r="R404">
        <v>0</v>
      </c>
      <c r="S404">
        <v>0</v>
      </c>
      <c r="T404">
        <f t="shared" ref="T404:T426" si="15">((D404-D403)/D403)</f>
        <v>-8.1990910841548637E-2</v>
      </c>
    </row>
    <row r="405" spans="1:20" x14ac:dyDescent="0.3">
      <c r="A405" s="1" t="s">
        <v>7</v>
      </c>
      <c r="B405" s="1">
        <v>17</v>
      </c>
      <c r="C405" s="1">
        <v>2003</v>
      </c>
      <c r="D405" s="1">
        <v>0.13907113149847999</v>
      </c>
      <c r="E405">
        <v>6.6124999999999998</v>
      </c>
      <c r="F405">
        <v>5.25</v>
      </c>
      <c r="G405">
        <v>3.5083333333333302</v>
      </c>
      <c r="H405">
        <v>1.89528703689575</v>
      </c>
      <c r="I405">
        <v>1.7732788324356099</v>
      </c>
      <c r="J405">
        <v>0.87811720371246305</v>
      </c>
      <c r="K405">
        <v>1.57526314258575</v>
      </c>
      <c r="L405">
        <v>1.8427721261978101</v>
      </c>
      <c r="M405">
        <v>1.44212782382965</v>
      </c>
      <c r="N405">
        <v>0.28000369668006897</v>
      </c>
      <c r="O405">
        <v>0.68433105945587158</v>
      </c>
      <c r="P405">
        <v>1.0219684839248657</v>
      </c>
      <c r="Q405">
        <v>0.70170581340789795</v>
      </c>
      <c r="R405">
        <v>0</v>
      </c>
      <c r="S405">
        <v>0</v>
      </c>
      <c r="T405">
        <f t="shared" si="15"/>
        <v>0.18381511699931297</v>
      </c>
    </row>
    <row r="406" spans="1:20" x14ac:dyDescent="0.3">
      <c r="A406" s="1" t="s">
        <v>7</v>
      </c>
      <c r="B406" s="1">
        <v>17</v>
      </c>
      <c r="C406" s="1">
        <v>2004</v>
      </c>
      <c r="D406" s="1">
        <v>0.13396222062115701</v>
      </c>
      <c r="E406">
        <v>7.05</v>
      </c>
      <c r="F406">
        <v>5.25</v>
      </c>
      <c r="G406">
        <v>3.85</v>
      </c>
      <c r="H406">
        <v>2.0058689117431601</v>
      </c>
      <c r="I406">
        <v>1.98494184017181</v>
      </c>
      <c r="J406">
        <v>0.935463547706604</v>
      </c>
      <c r="K406">
        <v>1.71121954917908</v>
      </c>
      <c r="L406">
        <v>1.79539239406586</v>
      </c>
      <c r="M406">
        <v>1.50154197216034</v>
      </c>
      <c r="N406">
        <v>0.26350545883178711</v>
      </c>
      <c r="O406">
        <v>0.51761651039123535</v>
      </c>
      <c r="P406">
        <v>1.0219684839248657</v>
      </c>
      <c r="Q406">
        <v>0.70170581340789795</v>
      </c>
      <c r="R406">
        <v>0</v>
      </c>
      <c r="S406">
        <v>0</v>
      </c>
      <c r="T406">
        <f t="shared" si="15"/>
        <v>-3.6735955350868953E-2</v>
      </c>
    </row>
    <row r="407" spans="1:20" x14ac:dyDescent="0.3">
      <c r="A407" s="1" t="s">
        <v>7</v>
      </c>
      <c r="B407" s="1">
        <v>17</v>
      </c>
      <c r="C407" s="1">
        <v>2005</v>
      </c>
      <c r="D407" s="1">
        <v>0.13495870556951001</v>
      </c>
      <c r="E407">
        <v>7.2583333333333302</v>
      </c>
      <c r="F407">
        <v>5.5</v>
      </c>
      <c r="G407">
        <v>3.8916666666666599</v>
      </c>
      <c r="H407">
        <v>1.9426677227020299</v>
      </c>
      <c r="I407">
        <v>1.7461812496185301</v>
      </c>
      <c r="J407">
        <v>0.89170765876769997</v>
      </c>
      <c r="K407">
        <v>1.5995129346847501</v>
      </c>
      <c r="L407">
        <v>1.71280241012573</v>
      </c>
      <c r="M407">
        <v>1.5070557594299301</v>
      </c>
      <c r="N407">
        <v>0.36145719885826111</v>
      </c>
      <c r="O407">
        <v>0.29503312706947327</v>
      </c>
      <c r="P407">
        <v>1.0219684839248657</v>
      </c>
      <c r="Q407">
        <v>0.70170581340789795</v>
      </c>
      <c r="R407">
        <v>0</v>
      </c>
      <c r="S407">
        <v>0</v>
      </c>
      <c r="T407">
        <f t="shared" si="15"/>
        <v>7.4385520315540486E-3</v>
      </c>
    </row>
    <row r="408" spans="1:20" x14ac:dyDescent="0.3">
      <c r="A408" s="1" t="s">
        <v>7</v>
      </c>
      <c r="B408" s="1">
        <v>17</v>
      </c>
      <c r="C408" s="1">
        <v>2006</v>
      </c>
      <c r="D408" s="1">
        <v>0.13536483398516899</v>
      </c>
      <c r="E408">
        <v>7.6124999999999998</v>
      </c>
      <c r="F408">
        <v>6.25</v>
      </c>
      <c r="G408">
        <v>4.0625</v>
      </c>
      <c r="H408">
        <v>1.9508131742477399</v>
      </c>
      <c r="I408">
        <v>1.7078993320465099</v>
      </c>
      <c r="J408">
        <v>0.93446660041809104</v>
      </c>
      <c r="K408">
        <v>1.62376224994659</v>
      </c>
      <c r="L408">
        <v>1.7567385435104399</v>
      </c>
      <c r="M408">
        <v>1.38279473781586</v>
      </c>
      <c r="N408">
        <v>0.27770689129829407</v>
      </c>
      <c r="O408">
        <v>0.41475763916969299</v>
      </c>
      <c r="P408">
        <v>1.0219684839248657</v>
      </c>
      <c r="Q408">
        <v>0.70170581340789795</v>
      </c>
      <c r="R408">
        <v>0</v>
      </c>
      <c r="S408">
        <v>0</v>
      </c>
      <c r="T408">
        <f t="shared" si="15"/>
        <v>3.0092791268645507E-3</v>
      </c>
    </row>
    <row r="409" spans="1:20" x14ac:dyDescent="0.3">
      <c r="A409" s="1" t="s">
        <v>7</v>
      </c>
      <c r="B409" s="1">
        <v>17</v>
      </c>
      <c r="C409" s="1">
        <v>2007</v>
      </c>
      <c r="D409" s="1">
        <v>0.156647908424764</v>
      </c>
      <c r="E409">
        <v>8.1958333333333293</v>
      </c>
      <c r="F409">
        <v>6.75</v>
      </c>
      <c r="G409">
        <v>4.5291666666666597</v>
      </c>
      <c r="H409">
        <v>2.0008728504180899</v>
      </c>
      <c r="I409">
        <v>1.8189551830291699</v>
      </c>
      <c r="J409">
        <v>0.92887490987777699</v>
      </c>
      <c r="K409">
        <v>1.68421590328217</v>
      </c>
      <c r="L409">
        <v>1.7438874244689899</v>
      </c>
      <c r="M409">
        <v>1.3691999912262001</v>
      </c>
      <c r="N409">
        <v>0.22910991311073303</v>
      </c>
      <c r="O409">
        <v>0.4015059769153595</v>
      </c>
      <c r="P409">
        <v>1.0219684839248657</v>
      </c>
      <c r="Q409">
        <v>0.70170581340789795</v>
      </c>
      <c r="R409">
        <v>0</v>
      </c>
      <c r="S409">
        <v>0</v>
      </c>
      <c r="T409">
        <f t="shared" si="15"/>
        <v>0.15722750003096708</v>
      </c>
    </row>
    <row r="410" spans="1:20" x14ac:dyDescent="0.3">
      <c r="A410" s="1" t="s">
        <v>7</v>
      </c>
      <c r="B410" s="1">
        <v>17</v>
      </c>
      <c r="C410" s="1">
        <v>2008</v>
      </c>
      <c r="D410" s="1">
        <v>0.14417569832876501</v>
      </c>
      <c r="E410">
        <v>8.9083333333333297</v>
      </c>
      <c r="F410">
        <v>4.25</v>
      </c>
      <c r="G410">
        <v>4.7249999999999996</v>
      </c>
      <c r="H410">
        <v>2.0273425579071001</v>
      </c>
      <c r="I410">
        <v>1.78476786613464</v>
      </c>
      <c r="J410">
        <v>0.95470011234283403</v>
      </c>
      <c r="K410">
        <v>1.7660175561904901</v>
      </c>
      <c r="L410">
        <v>1.75908350944519</v>
      </c>
      <c r="M410">
        <v>1.36807608604431</v>
      </c>
      <c r="N410">
        <v>0.12849795818328857</v>
      </c>
      <c r="O410">
        <v>0.59604007005691528</v>
      </c>
      <c r="P410">
        <v>1.0219684839248657</v>
      </c>
      <c r="Q410">
        <v>0.70170581340789795</v>
      </c>
      <c r="R410">
        <v>0</v>
      </c>
      <c r="S410">
        <v>0</v>
      </c>
      <c r="T410">
        <f t="shared" si="15"/>
        <v>-7.9619384780928892E-2</v>
      </c>
    </row>
    <row r="411" spans="1:20" x14ac:dyDescent="0.3">
      <c r="A411" s="1" t="s">
        <v>7</v>
      </c>
      <c r="B411" s="1">
        <v>17</v>
      </c>
      <c r="C411" s="1">
        <v>2009</v>
      </c>
      <c r="D411" s="1">
        <v>0.14323930327421699</v>
      </c>
      <c r="E411">
        <v>6.0208333333333304</v>
      </c>
      <c r="F411">
        <v>3.75</v>
      </c>
      <c r="G411">
        <v>3.0791666666666599</v>
      </c>
      <c r="H411">
        <v>2.0417630672454798</v>
      </c>
      <c r="I411">
        <v>1.7019637823104901</v>
      </c>
      <c r="J411">
        <v>0.85512059926986705</v>
      </c>
      <c r="K411">
        <v>1.81692755222321</v>
      </c>
      <c r="L411">
        <v>1.7330087423324601</v>
      </c>
      <c r="M411">
        <v>1.3837908506393399</v>
      </c>
      <c r="N411">
        <v>0.19086562097072601</v>
      </c>
      <c r="O411">
        <v>0.2957170307636261</v>
      </c>
      <c r="P411">
        <v>1.0219684839248657</v>
      </c>
      <c r="Q411">
        <v>0.70170581340789795</v>
      </c>
      <c r="R411">
        <v>0</v>
      </c>
      <c r="S411">
        <v>0</v>
      </c>
      <c r="T411">
        <f t="shared" si="15"/>
        <v>-6.4948189285876897E-3</v>
      </c>
    </row>
    <row r="412" spans="1:20" x14ac:dyDescent="0.3">
      <c r="A412" s="1" t="s">
        <v>7</v>
      </c>
      <c r="B412" s="1">
        <v>17</v>
      </c>
      <c r="C412" s="1">
        <v>2010</v>
      </c>
      <c r="D412" s="1">
        <v>0.16176702583177799</v>
      </c>
      <c r="E412">
        <v>7.2791666666666597</v>
      </c>
      <c r="F412">
        <v>4.75</v>
      </c>
      <c r="G412">
        <v>4.2125000000000004</v>
      </c>
      <c r="H412">
        <v>2.0236108303070099</v>
      </c>
      <c r="I412">
        <v>1.7633913755416899</v>
      </c>
      <c r="J412">
        <v>0.88885986804962203</v>
      </c>
      <c r="K412">
        <v>1.6959767341613801</v>
      </c>
      <c r="L412">
        <v>1.75771832466125</v>
      </c>
      <c r="M412">
        <v>1.41976547241211</v>
      </c>
      <c r="N412">
        <v>0.1895516961812973</v>
      </c>
      <c r="O412">
        <v>0.35696414113044739</v>
      </c>
      <c r="P412">
        <v>1.0219684839248657</v>
      </c>
      <c r="Q412">
        <v>0.70170581340789795</v>
      </c>
      <c r="R412">
        <v>0</v>
      </c>
      <c r="S412">
        <v>0</v>
      </c>
      <c r="T412">
        <f t="shared" si="15"/>
        <v>0.12934803600720932</v>
      </c>
    </row>
    <row r="413" spans="1:20" x14ac:dyDescent="0.3">
      <c r="A413" s="1" t="s">
        <v>7</v>
      </c>
      <c r="B413" s="1">
        <v>17</v>
      </c>
      <c r="C413" s="1">
        <v>2011</v>
      </c>
      <c r="D413" s="1">
        <v>0.174582505193386</v>
      </c>
      <c r="E413">
        <v>7.7374999999999998</v>
      </c>
      <c r="F413">
        <v>4.25</v>
      </c>
      <c r="G413">
        <v>4.3375000000000004</v>
      </c>
      <c r="H413">
        <v>2.0379090309143102</v>
      </c>
      <c r="I413">
        <v>1.6901381015777599</v>
      </c>
      <c r="J413">
        <v>0.93571007251739502</v>
      </c>
      <c r="K413">
        <v>1.85212278366089</v>
      </c>
      <c r="L413">
        <v>1.73315370082855</v>
      </c>
      <c r="M413">
        <v>1.4537210464477499</v>
      </c>
      <c r="N413">
        <v>0.184915691614151</v>
      </c>
      <c r="O413">
        <v>0.42572948336601257</v>
      </c>
      <c r="P413">
        <v>1.0219684839248657</v>
      </c>
      <c r="Q413">
        <v>0.70170581340789795</v>
      </c>
      <c r="R413">
        <v>0</v>
      </c>
      <c r="S413">
        <v>0</v>
      </c>
      <c r="T413">
        <f t="shared" si="15"/>
        <v>7.9221827166031156E-2</v>
      </c>
    </row>
    <row r="414" spans="1:20" x14ac:dyDescent="0.3">
      <c r="A414" s="1" t="s">
        <v>7</v>
      </c>
      <c r="B414" s="1">
        <v>17</v>
      </c>
      <c r="C414" s="1">
        <v>2012</v>
      </c>
      <c r="D414" s="1">
        <v>0.15718363703358901</v>
      </c>
      <c r="E414">
        <v>6.9749999999999996</v>
      </c>
      <c r="F414">
        <v>3</v>
      </c>
      <c r="G414">
        <v>3.9166666666666599</v>
      </c>
      <c r="H414">
        <v>1.9775072336196899</v>
      </c>
      <c r="I414">
        <v>1.61314845085144</v>
      </c>
      <c r="J414">
        <v>0.99799722433090199</v>
      </c>
      <c r="K414">
        <v>1.77889716625214</v>
      </c>
      <c r="L414">
        <v>1.7597795724868801</v>
      </c>
      <c r="M414">
        <v>1.49919033050537</v>
      </c>
      <c r="N414">
        <v>0.22445942461490631</v>
      </c>
      <c r="O414">
        <v>0.40759572386741638</v>
      </c>
      <c r="P414">
        <v>1.2737407684326172</v>
      </c>
      <c r="Q414">
        <v>0.7613646388053894</v>
      </c>
      <c r="R414">
        <v>0</v>
      </c>
      <c r="S414">
        <v>0</v>
      </c>
      <c r="T414">
        <f t="shared" si="15"/>
        <v>-9.9659860766255881E-2</v>
      </c>
    </row>
    <row r="415" spans="1:20" x14ac:dyDescent="0.3">
      <c r="A415" s="1" t="s">
        <v>7</v>
      </c>
      <c r="B415" s="1">
        <v>17</v>
      </c>
      <c r="C415" s="1">
        <v>2013</v>
      </c>
      <c r="D415" s="1">
        <v>0.15540060116840801</v>
      </c>
      <c r="E415">
        <v>6.17916666666666</v>
      </c>
      <c r="F415">
        <v>2.5</v>
      </c>
      <c r="G415">
        <v>3.25</v>
      </c>
      <c r="H415">
        <v>1.77783310413361</v>
      </c>
      <c r="I415">
        <v>1.632453083992</v>
      </c>
      <c r="J415">
        <v>1.03107297420502</v>
      </c>
      <c r="K415">
        <v>1.79121994972229</v>
      </c>
      <c r="L415">
        <v>1.7701008319854701</v>
      </c>
      <c r="M415">
        <v>1.43636846542358</v>
      </c>
      <c r="N415">
        <v>0.25653749704360962</v>
      </c>
      <c r="O415">
        <v>0.46639981865882874</v>
      </c>
      <c r="P415">
        <v>1.5255131721496582</v>
      </c>
      <c r="Q415">
        <v>0.82102346420288086</v>
      </c>
      <c r="R415">
        <v>0</v>
      </c>
      <c r="S415">
        <v>0</v>
      </c>
      <c r="T415">
        <f t="shared" si="15"/>
        <v>-1.1343648097415997E-2</v>
      </c>
    </row>
    <row r="416" spans="1:20" x14ac:dyDescent="0.3">
      <c r="A416" s="1" t="s">
        <v>7</v>
      </c>
      <c r="B416" s="1">
        <v>17</v>
      </c>
      <c r="C416" s="1">
        <v>2014</v>
      </c>
      <c r="D416" s="1">
        <v>0.157977419123525</v>
      </c>
      <c r="E416">
        <v>5.95</v>
      </c>
      <c r="F416">
        <v>2.5</v>
      </c>
      <c r="G416">
        <v>2.9041666666666601</v>
      </c>
      <c r="H416">
        <v>1.84927213191986</v>
      </c>
      <c r="I416">
        <v>1.6008949279785201</v>
      </c>
      <c r="J416">
        <v>1.0321919918060301</v>
      </c>
      <c r="K416">
        <v>1.8573734760284399</v>
      </c>
      <c r="L416">
        <v>1.9186308383941699</v>
      </c>
      <c r="M416">
        <v>1.3616741895675699</v>
      </c>
      <c r="N416">
        <v>0.26687183976173401</v>
      </c>
      <c r="O416">
        <v>0.41050592064857483</v>
      </c>
      <c r="P416">
        <v>1.7772855758666992</v>
      </c>
      <c r="Q416">
        <v>0.88068228960037231</v>
      </c>
      <c r="R416">
        <v>0</v>
      </c>
      <c r="S416">
        <v>0</v>
      </c>
      <c r="T416">
        <f t="shared" si="15"/>
        <v>1.6581775976043302E-2</v>
      </c>
    </row>
    <row r="417" spans="1:20" x14ac:dyDescent="0.3">
      <c r="A417" s="1" t="s">
        <v>7</v>
      </c>
      <c r="B417" s="1">
        <v>17</v>
      </c>
      <c r="C417" s="1">
        <v>2015</v>
      </c>
      <c r="D417" s="1">
        <v>0.160277271544431</v>
      </c>
      <c r="E417">
        <v>5.5750000000000002</v>
      </c>
      <c r="F417">
        <v>2</v>
      </c>
      <c r="G417">
        <v>2.30416666666666</v>
      </c>
      <c r="H417">
        <v>1.84130811691284</v>
      </c>
      <c r="I417">
        <v>1.53325247764587</v>
      </c>
      <c r="J417">
        <v>0.87318068742752097</v>
      </c>
      <c r="K417">
        <v>1.77741026878357</v>
      </c>
      <c r="L417">
        <v>1.7903206348419201</v>
      </c>
      <c r="M417">
        <v>1.3557312488555899</v>
      </c>
      <c r="N417">
        <v>0.25149285793304443</v>
      </c>
      <c r="O417">
        <v>0.66967374086380005</v>
      </c>
      <c r="P417">
        <v>2.0290579795837402</v>
      </c>
      <c r="Q417">
        <v>0.94034117460250854</v>
      </c>
      <c r="R417">
        <v>0</v>
      </c>
      <c r="S417">
        <v>0</v>
      </c>
      <c r="T417">
        <f t="shared" si="15"/>
        <v>1.4558108580744095E-2</v>
      </c>
    </row>
    <row r="418" spans="1:20" x14ac:dyDescent="0.3">
      <c r="A418" s="1" t="s">
        <v>7</v>
      </c>
      <c r="B418" s="1">
        <v>17</v>
      </c>
      <c r="C418" s="1">
        <v>2016</v>
      </c>
      <c r="D418" s="1">
        <v>0.169764353509887</v>
      </c>
      <c r="E418">
        <v>5.4208333333333298</v>
      </c>
      <c r="F418">
        <v>1.5</v>
      </c>
      <c r="G418">
        <v>2.1416666666666599</v>
      </c>
      <c r="H418">
        <v>1.7722519636154199</v>
      </c>
      <c r="I418">
        <v>1.53218841552734</v>
      </c>
      <c r="J418">
        <v>1.0334244966507</v>
      </c>
      <c r="K418">
        <v>1.88573145866394</v>
      </c>
      <c r="L418">
        <v>1.7166656255721999</v>
      </c>
      <c r="M418">
        <v>1.3541009426116899</v>
      </c>
      <c r="N418">
        <v>0.23839285969734192</v>
      </c>
      <c r="O418">
        <v>0.66967374086380005</v>
      </c>
      <c r="P418">
        <v>2.2808303833007813</v>
      </c>
      <c r="Q418">
        <v>1</v>
      </c>
      <c r="R418">
        <v>0</v>
      </c>
      <c r="S418">
        <v>0</v>
      </c>
      <c r="T418">
        <f t="shared" si="15"/>
        <v>5.9191686220001913E-2</v>
      </c>
    </row>
    <row r="419" spans="1:20" x14ac:dyDescent="0.3">
      <c r="A419" s="1" t="s">
        <v>7</v>
      </c>
      <c r="B419" s="1">
        <v>17</v>
      </c>
      <c r="C419" s="1">
        <v>2017</v>
      </c>
      <c r="D419" s="1">
        <v>0.15042021647135201</v>
      </c>
      <c r="E419">
        <v>5.2454999999999998</v>
      </c>
      <c r="F419">
        <v>1.5</v>
      </c>
      <c r="G419">
        <v>2.0083333333333302</v>
      </c>
      <c r="H419">
        <v>1.75297474861145</v>
      </c>
      <c r="I419">
        <v>1.49838602542877</v>
      </c>
      <c r="J419">
        <v>0.87606406211853005</v>
      </c>
      <c r="K419">
        <v>1.92300236225128</v>
      </c>
      <c r="L419">
        <v>1.64595770835876</v>
      </c>
      <c r="M419">
        <v>1.3786368370056199</v>
      </c>
      <c r="N419">
        <v>0.29439201951026917</v>
      </c>
      <c r="O419">
        <v>0.60429090261459351</v>
      </c>
      <c r="P419">
        <v>2.2808303833007813</v>
      </c>
      <c r="Q419">
        <v>1</v>
      </c>
      <c r="R419">
        <v>0</v>
      </c>
      <c r="S419">
        <v>0</v>
      </c>
      <c r="T419">
        <f t="shared" si="15"/>
        <v>-0.11394698968655041</v>
      </c>
    </row>
    <row r="420" spans="1:20" x14ac:dyDescent="0.3">
      <c r="A420" s="1" t="s">
        <v>7</v>
      </c>
      <c r="B420" s="1">
        <v>17</v>
      </c>
      <c r="C420" s="1">
        <v>2018</v>
      </c>
      <c r="D420" s="1">
        <v>0.13033786386372301</v>
      </c>
      <c r="E420">
        <v>5.2608333333333297</v>
      </c>
      <c r="F420">
        <v>1.5</v>
      </c>
      <c r="G420">
        <v>1.9791666666666601</v>
      </c>
      <c r="H420">
        <v>1.7674548625946001</v>
      </c>
      <c r="I420">
        <v>1.5559899806976301</v>
      </c>
      <c r="J420">
        <v>0.97118544578552202</v>
      </c>
      <c r="K420">
        <v>1.8965772390365601</v>
      </c>
      <c r="L420">
        <v>1.67466557025909</v>
      </c>
      <c r="M420">
        <v>1.3937858343124401</v>
      </c>
      <c r="N420">
        <v>0.30244800448417664</v>
      </c>
      <c r="O420">
        <v>0.35717356204986572</v>
      </c>
      <c r="P420">
        <v>2.2808303833007813</v>
      </c>
      <c r="Q420">
        <v>1</v>
      </c>
      <c r="R420">
        <v>0</v>
      </c>
      <c r="S420">
        <v>0</v>
      </c>
      <c r="T420">
        <f t="shared" si="15"/>
        <v>-0.13350833470881054</v>
      </c>
    </row>
    <row r="421" spans="1:20" x14ac:dyDescent="0.3">
      <c r="A421" s="1" t="s">
        <v>7</v>
      </c>
      <c r="B421" s="1">
        <v>17</v>
      </c>
      <c r="C421" s="1">
        <v>2019</v>
      </c>
      <c r="D421" s="1">
        <v>0.12605185363396301</v>
      </c>
      <c r="E421">
        <v>5.101</v>
      </c>
      <c r="F421">
        <v>0.75</v>
      </c>
      <c r="G421">
        <v>1.55833333333333</v>
      </c>
      <c r="H421">
        <v>1.78807365894318</v>
      </c>
      <c r="I421">
        <v>1.53869080543518</v>
      </c>
      <c r="J421">
        <v>0.91797894239425704</v>
      </c>
      <c r="K421">
        <v>1.86464607715607</v>
      </c>
      <c r="L421">
        <v>1.6946170330047601</v>
      </c>
      <c r="M421">
        <v>1.2703651189804099</v>
      </c>
      <c r="N421">
        <v>0.33047217130661011</v>
      </c>
      <c r="O421">
        <v>0.28576034307479858</v>
      </c>
      <c r="P421">
        <v>2.2808303833007813</v>
      </c>
      <c r="Q421">
        <v>1</v>
      </c>
      <c r="R421">
        <v>0</v>
      </c>
      <c r="S421">
        <v>0</v>
      </c>
      <c r="T421">
        <f t="shared" si="15"/>
        <v>-3.2883845896395134E-2</v>
      </c>
    </row>
    <row r="422" spans="1:20" x14ac:dyDescent="0.3">
      <c r="A422" s="1" t="s">
        <v>7</v>
      </c>
      <c r="B422" s="1">
        <v>17</v>
      </c>
      <c r="C422" s="1">
        <v>2020</v>
      </c>
      <c r="D422" s="1">
        <v>8.9796082944515701E-2</v>
      </c>
      <c r="E422" s="2">
        <v>3.65</v>
      </c>
      <c r="F422">
        <v>0.1</v>
      </c>
      <c r="G422" s="2">
        <v>0.55000000000000004</v>
      </c>
      <c r="H422">
        <v>1.6329805850982699</v>
      </c>
      <c r="I422">
        <v>1.57335329055786</v>
      </c>
      <c r="J422">
        <v>0.86216187477111805</v>
      </c>
      <c r="K422">
        <v>1.81394696235657</v>
      </c>
      <c r="L422">
        <v>1.6150035858154299</v>
      </c>
      <c r="M422">
        <v>1.2989848852157599</v>
      </c>
      <c r="N422">
        <v>0.19884760677814484</v>
      </c>
      <c r="O422">
        <v>0.28576034307479858</v>
      </c>
      <c r="P422">
        <v>2.2808303833007813</v>
      </c>
      <c r="Q422">
        <v>1</v>
      </c>
      <c r="R422">
        <v>0</v>
      </c>
      <c r="S422">
        <v>0</v>
      </c>
      <c r="T422">
        <f t="shared" si="15"/>
        <v>-0.28762584320837525</v>
      </c>
    </row>
    <row r="423" spans="1:20" x14ac:dyDescent="0.3">
      <c r="A423" s="1" t="s">
        <v>7</v>
      </c>
      <c r="B423" s="1">
        <v>17</v>
      </c>
      <c r="C423" s="1">
        <v>2021</v>
      </c>
      <c r="D423" s="1">
        <v>6.0003368361922702E-2</v>
      </c>
      <c r="E423" s="2">
        <v>3.1</v>
      </c>
      <c r="F423">
        <v>0.1</v>
      </c>
      <c r="G423" s="2">
        <v>0.25</v>
      </c>
      <c r="H423">
        <v>1.7073887586593599</v>
      </c>
      <c r="I423">
        <v>1.4717220067977901</v>
      </c>
      <c r="J423">
        <v>0.83507913351059004</v>
      </c>
      <c r="K423">
        <v>1.83118271827698</v>
      </c>
      <c r="L423">
        <v>1.6385596990585301</v>
      </c>
      <c r="M423">
        <v>1.35812592506409</v>
      </c>
      <c r="N423">
        <v>0.27291053235530854</v>
      </c>
      <c r="O423">
        <v>0.44053177833557128</v>
      </c>
      <c r="P423">
        <v>2.2808303833007813</v>
      </c>
      <c r="Q423">
        <v>1</v>
      </c>
      <c r="R423">
        <v>0</v>
      </c>
      <c r="S423">
        <v>0</v>
      </c>
      <c r="T423">
        <f t="shared" si="15"/>
        <v>-0.33178189521921225</v>
      </c>
    </row>
    <row r="424" spans="1:20" x14ac:dyDescent="0.3">
      <c r="A424" s="1" t="s">
        <v>7</v>
      </c>
      <c r="B424" s="1">
        <v>17</v>
      </c>
      <c r="C424" s="1">
        <v>2022</v>
      </c>
      <c r="D424" s="1">
        <v>7.6808230844062506E-2</v>
      </c>
      <c r="E424" s="2">
        <v>5.15</v>
      </c>
      <c r="F424">
        <v>3.1</v>
      </c>
      <c r="G424" s="2">
        <v>1.35</v>
      </c>
      <c r="H424">
        <v>1.7643671035766599</v>
      </c>
      <c r="I424">
        <v>1.5284327268600499</v>
      </c>
      <c r="J424">
        <v>0.98371595144271895</v>
      </c>
      <c r="K424">
        <v>1.8948932886123699</v>
      </c>
      <c r="L424">
        <v>1.5088187456130999</v>
      </c>
      <c r="M424">
        <v>1.32390677928925</v>
      </c>
      <c r="N424">
        <v>0.27981406688690186</v>
      </c>
      <c r="O424">
        <v>0.39470338582992553</v>
      </c>
      <c r="P424">
        <v>2.2808303833007813</v>
      </c>
      <c r="Q424">
        <v>1</v>
      </c>
      <c r="R424">
        <v>0</v>
      </c>
      <c r="S424">
        <v>0</v>
      </c>
      <c r="T424">
        <f t="shared" si="15"/>
        <v>0.28006531867974155</v>
      </c>
    </row>
    <row r="425" spans="1:20" x14ac:dyDescent="0.3">
      <c r="A425" s="1" t="s">
        <v>7</v>
      </c>
      <c r="B425" s="1">
        <v>17</v>
      </c>
      <c r="C425" s="1">
        <v>2023</v>
      </c>
      <c r="D425" s="1">
        <v>9.9008015065080099E-2</v>
      </c>
      <c r="E425" s="2">
        <v>8.35</v>
      </c>
      <c r="F425">
        <v>4.3499999999999996</v>
      </c>
      <c r="G425" s="2">
        <v>3.45</v>
      </c>
      <c r="H425">
        <v>1.78120493888855</v>
      </c>
      <c r="I425">
        <v>1.5898796319961499</v>
      </c>
      <c r="J425">
        <v>0.91705721616744995</v>
      </c>
      <c r="K425">
        <v>1.94220554828644</v>
      </c>
      <c r="L425">
        <v>1.5231839418411299</v>
      </c>
      <c r="M425">
        <v>1.50660192966461</v>
      </c>
      <c r="N425">
        <v>0.27689847636222836</v>
      </c>
      <c r="O425">
        <v>0.35278588247299197</v>
      </c>
      <c r="P425">
        <v>2.2808303833007813</v>
      </c>
      <c r="Q425">
        <v>1</v>
      </c>
      <c r="R425">
        <v>0</v>
      </c>
      <c r="S425">
        <v>0</v>
      </c>
      <c r="T425">
        <f t="shared" si="15"/>
        <v>0.28902871446275086</v>
      </c>
    </row>
    <row r="426" spans="1:20" x14ac:dyDescent="0.3">
      <c r="A426" s="1" t="s">
        <v>7</v>
      </c>
      <c r="B426" s="1">
        <v>17</v>
      </c>
      <c r="C426" s="1">
        <v>2024</v>
      </c>
      <c r="D426" s="1">
        <v>0.107763845727817</v>
      </c>
      <c r="E426" s="2">
        <v>8.6999999999999993</v>
      </c>
      <c r="F426">
        <v>4.3499999999999996</v>
      </c>
      <c r="G426" s="2">
        <v>3.75</v>
      </c>
      <c r="H426">
        <v>1.7348030090332043</v>
      </c>
      <c r="I426">
        <v>1.5404156923294061</v>
      </c>
      <c r="J426">
        <v>0.90319862365722692</v>
      </c>
      <c r="K426">
        <v>1.869374918937686</v>
      </c>
      <c r="L426">
        <v>1.5960366010665898</v>
      </c>
      <c r="M426">
        <v>1.3515969276428241</v>
      </c>
      <c r="N426">
        <v>0.27178857073783874</v>
      </c>
      <c r="O426">
        <v>0.35190834655761721</v>
      </c>
      <c r="P426">
        <v>2.2808303833007813</v>
      </c>
      <c r="Q426">
        <v>1</v>
      </c>
      <c r="R426">
        <v>0</v>
      </c>
      <c r="S426">
        <v>0</v>
      </c>
      <c r="T426">
        <f t="shared" si="15"/>
        <v>8.8435574200548345E-2</v>
      </c>
    </row>
    <row r="427" spans="1:20" x14ac:dyDescent="0.3">
      <c r="A427" s="1" t="s">
        <v>6</v>
      </c>
      <c r="B427" s="1">
        <v>18</v>
      </c>
      <c r="C427" s="1">
        <v>2000</v>
      </c>
      <c r="D427" s="1">
        <v>6.7352920231262097</v>
      </c>
      <c r="E427" s="3">
        <v>23.5</v>
      </c>
      <c r="F427" s="2">
        <v>18</v>
      </c>
      <c r="G427">
        <v>4</v>
      </c>
      <c r="H427">
        <v>-1.04017269611359</v>
      </c>
      <c r="I427">
        <v>-0.42815425992012002</v>
      </c>
      <c r="J427">
        <v>-0.81272655725479104</v>
      </c>
      <c r="K427">
        <v>-0.51660037040710405</v>
      </c>
      <c r="L427">
        <v>-0.93849754333496105</v>
      </c>
      <c r="M427">
        <v>-0.28367593884468101</v>
      </c>
      <c r="N427">
        <v>0.45674306154251099</v>
      </c>
      <c r="O427">
        <v>0.325797438621521</v>
      </c>
      <c r="P427" s="6">
        <v>1.2017203569412231</v>
      </c>
      <c r="Q427" s="6">
        <v>0.74429899454116821</v>
      </c>
      <c r="R427">
        <v>0</v>
      </c>
      <c r="S427">
        <v>1</v>
      </c>
    </row>
    <row r="428" spans="1:20" x14ac:dyDescent="0.3">
      <c r="A428" s="1" t="s">
        <v>6</v>
      </c>
      <c r="B428" s="1">
        <v>18</v>
      </c>
      <c r="C428" s="1">
        <v>2001</v>
      </c>
      <c r="D428" s="1">
        <v>6.7911575246627498</v>
      </c>
      <c r="E428" s="3">
        <v>24.2</v>
      </c>
      <c r="F428" s="2">
        <v>16</v>
      </c>
      <c r="G428">
        <v>4.82969272887249</v>
      </c>
      <c r="H428">
        <v>-1.152157306671145</v>
      </c>
      <c r="I428">
        <v>-0.57039819657802548</v>
      </c>
      <c r="J428">
        <v>-1.0023839771747605</v>
      </c>
      <c r="K428">
        <v>-0.62641620635986306</v>
      </c>
      <c r="L428">
        <v>-1.0112769007682805</v>
      </c>
      <c r="M428">
        <v>-0.39439569413661951</v>
      </c>
      <c r="N428">
        <v>0.41355395317077637</v>
      </c>
      <c r="O428">
        <v>0.325797438621521</v>
      </c>
      <c r="P428" s="6">
        <v>1.2017203569412231</v>
      </c>
      <c r="Q428" s="6">
        <v>0.74429899454116821</v>
      </c>
      <c r="R428">
        <v>0</v>
      </c>
      <c r="S428">
        <v>1</v>
      </c>
      <c r="T428">
        <f>((D428-D427)/D427)</f>
        <v>8.2944438555479227E-3</v>
      </c>
    </row>
    <row r="429" spans="1:20" x14ac:dyDescent="0.3">
      <c r="A429" s="1" t="s">
        <v>6</v>
      </c>
      <c r="B429" s="1">
        <v>18</v>
      </c>
      <c r="C429" s="1">
        <v>2002</v>
      </c>
      <c r="D429" s="1">
        <v>6.6650318120526801</v>
      </c>
      <c r="E429" s="3">
        <v>23.8</v>
      </c>
      <c r="F429" s="2">
        <v>15</v>
      </c>
      <c r="G429">
        <v>5.8895641392015099</v>
      </c>
      <c r="H429">
        <v>-1.2641419172287001</v>
      </c>
      <c r="I429">
        <v>-0.71264213323593095</v>
      </c>
      <c r="J429">
        <v>-1.1920413970947299</v>
      </c>
      <c r="K429">
        <v>-0.73623204231262196</v>
      </c>
      <c r="L429">
        <v>-1.0840562582016</v>
      </c>
      <c r="M429">
        <v>-0.50511544942855802</v>
      </c>
      <c r="N429">
        <v>0.30278602242469788</v>
      </c>
      <c r="O429">
        <v>0.325797438621521</v>
      </c>
      <c r="P429" s="6">
        <v>1.2017203569412231</v>
      </c>
      <c r="Q429" s="6">
        <v>0.74429899454116821</v>
      </c>
      <c r="R429">
        <v>0</v>
      </c>
      <c r="S429">
        <v>1</v>
      </c>
      <c r="T429">
        <f t="shared" ref="T429:T451" si="16">((D429-D428)/D428)</f>
        <v>-1.8572049337985733E-2</v>
      </c>
    </row>
    <row r="430" spans="1:20" x14ac:dyDescent="0.3">
      <c r="A430" s="1" t="s">
        <v>6</v>
      </c>
      <c r="B430" s="1">
        <v>18</v>
      </c>
      <c r="C430" s="1">
        <v>2003</v>
      </c>
      <c r="D430" s="1">
        <v>6.2247600028756196</v>
      </c>
      <c r="E430">
        <v>23.755375000000001</v>
      </c>
      <c r="F430" s="2">
        <v>12</v>
      </c>
      <c r="G430">
        <v>8.8298161295000099</v>
      </c>
      <c r="H430">
        <v>-0.65076744556427002</v>
      </c>
      <c r="I430">
        <v>-0.19849793612957001</v>
      </c>
      <c r="J430">
        <v>-1.29921066761017</v>
      </c>
      <c r="K430">
        <v>-0.61724251508712802</v>
      </c>
      <c r="L430">
        <v>-0.91225409507751498</v>
      </c>
      <c r="M430">
        <v>-0.17786566913127899</v>
      </c>
      <c r="N430">
        <v>0.27834522724151611</v>
      </c>
      <c r="O430">
        <v>0.325797438621521</v>
      </c>
      <c r="P430" s="6">
        <v>1.2017203569412231</v>
      </c>
      <c r="Q430" s="6">
        <v>0.74429899454116821</v>
      </c>
      <c r="R430">
        <v>0</v>
      </c>
      <c r="S430">
        <v>1</v>
      </c>
      <c r="T430">
        <f t="shared" si="16"/>
        <v>-6.6056970407987706E-2</v>
      </c>
    </row>
    <row r="431" spans="1:20" x14ac:dyDescent="0.3">
      <c r="A431" s="1" t="s">
        <v>6</v>
      </c>
      <c r="B431" s="1">
        <v>18</v>
      </c>
      <c r="C431" s="1">
        <v>2004</v>
      </c>
      <c r="D431" s="1">
        <v>6.9963821506932797</v>
      </c>
      <c r="E431">
        <v>22.087125</v>
      </c>
      <c r="F431" s="2">
        <v>10</v>
      </c>
      <c r="G431">
        <v>7.0746140860967204</v>
      </c>
      <c r="H431">
        <v>-0.45956811308860801</v>
      </c>
      <c r="I431">
        <v>-0.55611526966095004</v>
      </c>
      <c r="J431">
        <v>-0.86411815881729104</v>
      </c>
      <c r="K431">
        <v>-0.43742018938064597</v>
      </c>
      <c r="L431">
        <v>-0.74976998567581199</v>
      </c>
      <c r="M431">
        <v>-7.82668963074684E-2</v>
      </c>
      <c r="N431">
        <v>0.27352350950241089</v>
      </c>
      <c r="O431">
        <v>0.325797438621521</v>
      </c>
      <c r="P431" s="6">
        <v>1.2017203569412231</v>
      </c>
      <c r="Q431" s="6">
        <v>0.74429899454116821</v>
      </c>
      <c r="R431">
        <v>0</v>
      </c>
      <c r="S431">
        <v>1</v>
      </c>
      <c r="T431">
        <f t="shared" si="16"/>
        <v>0.12396014424029166</v>
      </c>
    </row>
    <row r="432" spans="1:20" x14ac:dyDescent="0.3">
      <c r="A432" s="1" t="s">
        <v>6</v>
      </c>
      <c r="B432" s="1">
        <v>18</v>
      </c>
      <c r="C432" s="1">
        <v>2005</v>
      </c>
      <c r="D432" s="1">
        <v>6.9569726609955804</v>
      </c>
      <c r="E432">
        <v>17.550891666666601</v>
      </c>
      <c r="F432" s="2">
        <v>12</v>
      </c>
      <c r="G432">
        <v>7.4824971112802601</v>
      </c>
      <c r="H432">
        <v>-0.212853789329529</v>
      </c>
      <c r="I432">
        <v>-0.42787379026413003</v>
      </c>
      <c r="J432">
        <v>-0.75590491294860795</v>
      </c>
      <c r="K432">
        <v>-0.60464352369308505</v>
      </c>
      <c r="L432">
        <v>-0.69596260786056496</v>
      </c>
      <c r="M432">
        <v>-9.0371124446392101E-2</v>
      </c>
      <c r="N432">
        <v>0.66468530893325806</v>
      </c>
      <c r="O432">
        <v>0.325797438621521</v>
      </c>
      <c r="P432" s="6">
        <v>1.2017203569412231</v>
      </c>
      <c r="Q432" s="6">
        <v>0.74429899454116821</v>
      </c>
      <c r="R432">
        <v>0</v>
      </c>
      <c r="S432">
        <v>1</v>
      </c>
      <c r="T432">
        <f t="shared" si="16"/>
        <v>-5.6328383511461237E-3</v>
      </c>
    </row>
    <row r="433" spans="1:20" x14ac:dyDescent="0.3">
      <c r="A433" s="1" t="s">
        <v>6</v>
      </c>
      <c r="B433" s="1">
        <v>18</v>
      </c>
      <c r="C433" s="1">
        <v>2006</v>
      </c>
      <c r="D433" s="1">
        <v>8.0997865795366408</v>
      </c>
      <c r="E433">
        <v>17.060258333333302</v>
      </c>
      <c r="F433" s="2">
        <v>10</v>
      </c>
      <c r="G433">
        <v>10.131936449863799</v>
      </c>
      <c r="H433">
        <v>5.01524582505226E-2</v>
      </c>
      <c r="I433">
        <v>-0.244788363575935</v>
      </c>
      <c r="J433">
        <v>-0.96609878540039096</v>
      </c>
      <c r="K433">
        <v>-0.12854827940464</v>
      </c>
      <c r="L433">
        <v>-0.46166732907295199</v>
      </c>
      <c r="M433">
        <v>-9.2710025608539595E-2</v>
      </c>
      <c r="N433">
        <v>0.55999457836151123</v>
      </c>
      <c r="O433">
        <v>0.325797438621521</v>
      </c>
      <c r="P433" s="6">
        <v>1.2017203569412231</v>
      </c>
      <c r="Q433" s="6">
        <v>0.74429899454116821</v>
      </c>
      <c r="R433">
        <v>0</v>
      </c>
      <c r="S433">
        <v>1</v>
      </c>
      <c r="T433">
        <f t="shared" si="16"/>
        <v>0.16426885288025805</v>
      </c>
    </row>
    <row r="434" spans="1:20" x14ac:dyDescent="0.3">
      <c r="A434" s="1" t="s">
        <v>6</v>
      </c>
      <c r="B434" s="1">
        <v>18</v>
      </c>
      <c r="C434" s="1">
        <v>2007</v>
      </c>
      <c r="D434" s="1">
        <v>8.6805407240256898</v>
      </c>
      <c r="E434">
        <v>17.086116666666602</v>
      </c>
      <c r="F434" s="2">
        <v>10</v>
      </c>
      <c r="G434">
        <v>10.1942525216693</v>
      </c>
      <c r="H434">
        <v>-0.128835424780846</v>
      </c>
      <c r="I434">
        <v>0.12159952521324199</v>
      </c>
      <c r="J434">
        <v>-0.645898997783661</v>
      </c>
      <c r="K434">
        <v>0.29865846037864702</v>
      </c>
      <c r="L434">
        <v>-0.34445914626121499</v>
      </c>
      <c r="M434">
        <v>-0.23041018843650801</v>
      </c>
      <c r="N434">
        <v>0.5816570520401001</v>
      </c>
      <c r="O434">
        <v>0.325797438621521</v>
      </c>
      <c r="P434" s="6">
        <v>1.2017203569412231</v>
      </c>
      <c r="Q434" s="6">
        <v>0.74429899454116821</v>
      </c>
      <c r="R434">
        <v>0</v>
      </c>
      <c r="S434">
        <v>1</v>
      </c>
      <c r="T434">
        <f t="shared" si="16"/>
        <v>7.1699931694036281E-2</v>
      </c>
    </row>
    <row r="435" spans="1:20" x14ac:dyDescent="0.3">
      <c r="A435" s="1" t="s">
        <v>6</v>
      </c>
      <c r="B435" s="1">
        <v>18</v>
      </c>
      <c r="C435" s="1">
        <v>2008</v>
      </c>
      <c r="D435" s="1">
        <v>8.3236359191982991</v>
      </c>
      <c r="E435">
        <v>18.044133333333299</v>
      </c>
      <c r="F435">
        <v>8</v>
      </c>
      <c r="G435">
        <v>11.239273920341001</v>
      </c>
      <c r="H435">
        <v>-0.102076381444931</v>
      </c>
      <c r="I435">
        <v>0.30502903461456299</v>
      </c>
      <c r="J435">
        <v>-0.91967511177062999</v>
      </c>
      <c r="K435">
        <v>0.47564259171485901</v>
      </c>
      <c r="L435">
        <v>-0.26294445991516102</v>
      </c>
      <c r="M435">
        <v>-0.256853848695755</v>
      </c>
      <c r="N435">
        <v>0.1702716201543808</v>
      </c>
      <c r="O435">
        <v>0.325797438621521</v>
      </c>
      <c r="P435" s="6">
        <v>1.2017203569412231</v>
      </c>
      <c r="Q435" s="6">
        <v>0.74429899454116821</v>
      </c>
      <c r="R435">
        <v>0</v>
      </c>
      <c r="S435">
        <v>1</v>
      </c>
      <c r="T435">
        <f t="shared" si="16"/>
        <v>-4.1115503765746096E-2</v>
      </c>
    </row>
    <row r="436" spans="1:20" x14ac:dyDescent="0.3">
      <c r="A436" s="1" t="s">
        <v>6</v>
      </c>
      <c r="B436" s="1">
        <v>18</v>
      </c>
      <c r="C436" s="1">
        <v>2009</v>
      </c>
      <c r="D436" s="1">
        <v>10.3243983088381</v>
      </c>
      <c r="E436">
        <v>17.866316666666599</v>
      </c>
      <c r="F436">
        <v>5</v>
      </c>
      <c r="G436">
        <v>10.810323444594401</v>
      </c>
      <c r="H436">
        <v>-0.12203616648912401</v>
      </c>
      <c r="I436">
        <v>0.29778450727462802</v>
      </c>
      <c r="J436">
        <v>-0.96552491188049305</v>
      </c>
      <c r="K436">
        <v>0.50879234075546298</v>
      </c>
      <c r="L436">
        <v>-0.19931532442569699</v>
      </c>
      <c r="M436">
        <v>-0.188876047730446</v>
      </c>
      <c r="N436">
        <v>0.57435619831085205</v>
      </c>
      <c r="O436">
        <v>0.29906380176544189</v>
      </c>
      <c r="P436" s="6">
        <v>0.51622456312179565</v>
      </c>
      <c r="Q436" s="6">
        <v>0.5818670392036438</v>
      </c>
      <c r="R436">
        <v>0</v>
      </c>
      <c r="S436">
        <v>1</v>
      </c>
      <c r="T436">
        <f t="shared" si="16"/>
        <v>0.24037120425042655</v>
      </c>
    </row>
    <row r="437" spans="1:20" x14ac:dyDescent="0.3">
      <c r="A437" s="1" t="s">
        <v>6</v>
      </c>
      <c r="B437" s="1">
        <v>18</v>
      </c>
      <c r="C437" s="1">
        <v>2010</v>
      </c>
      <c r="D437" s="1">
        <v>9.52719496152171</v>
      </c>
      <c r="E437">
        <v>15.845075</v>
      </c>
      <c r="F437">
        <v>7.5</v>
      </c>
      <c r="G437">
        <v>10.062151552387</v>
      </c>
      <c r="H437">
        <v>1.23015772551298E-2</v>
      </c>
      <c r="I437">
        <v>0.32738780975341802</v>
      </c>
      <c r="J437">
        <v>-0.71832090616226196</v>
      </c>
      <c r="K437">
        <v>0.58663982152938798</v>
      </c>
      <c r="L437">
        <v>-0.20598497986793499</v>
      </c>
      <c r="M437">
        <v>-0.16091321408748599</v>
      </c>
      <c r="N437">
        <v>0.38222783803939819</v>
      </c>
      <c r="O437">
        <v>0.34952959418296814</v>
      </c>
      <c r="P437" s="6">
        <v>-0.68051010370254517</v>
      </c>
      <c r="Q437" s="6">
        <v>0.29829421639442444</v>
      </c>
      <c r="R437">
        <v>0</v>
      </c>
      <c r="S437">
        <v>1</v>
      </c>
      <c r="T437">
        <f t="shared" si="16"/>
        <v>-7.7215477693644605E-2</v>
      </c>
    </row>
    <row r="438" spans="1:20" x14ac:dyDescent="0.3">
      <c r="A438" s="1" t="s">
        <v>6</v>
      </c>
      <c r="B438" s="1">
        <v>18</v>
      </c>
      <c r="C438" s="1">
        <v>2011</v>
      </c>
      <c r="D438" s="1">
        <v>9.9983547512132702</v>
      </c>
      <c r="E438">
        <v>14.9951666666666</v>
      </c>
      <c r="F438">
        <v>6.75</v>
      </c>
      <c r="G438">
        <v>11.5377973597106</v>
      </c>
      <c r="H438">
        <v>0.117519699037075</v>
      </c>
      <c r="I438">
        <v>0.57881271839141801</v>
      </c>
      <c r="J438">
        <v>-0.65695196390152</v>
      </c>
      <c r="K438">
        <v>0.65162503719329801</v>
      </c>
      <c r="L438">
        <v>-0.119617037475109</v>
      </c>
      <c r="M438">
        <v>-0.17269885540008501</v>
      </c>
      <c r="N438">
        <v>0.3500857949256897</v>
      </c>
      <c r="O438">
        <v>0.48572960495948792</v>
      </c>
      <c r="P438" s="6">
        <v>-0.68051010370254517</v>
      </c>
      <c r="Q438" s="6">
        <v>0.29829421639442444</v>
      </c>
      <c r="R438">
        <v>0</v>
      </c>
      <c r="S438">
        <v>1</v>
      </c>
      <c r="T438">
        <f t="shared" si="16"/>
        <v>4.9454198386248337E-2</v>
      </c>
    </row>
    <row r="439" spans="1:20" x14ac:dyDescent="0.3">
      <c r="A439" s="1" t="s">
        <v>6</v>
      </c>
      <c r="B439" s="1">
        <v>18</v>
      </c>
      <c r="C439" s="1">
        <v>2012</v>
      </c>
      <c r="D439" s="1">
        <v>10.477531075748599</v>
      </c>
      <c r="E439">
        <v>14.808450000000001</v>
      </c>
      <c r="F439">
        <v>5.25</v>
      </c>
      <c r="G439">
        <v>10.7055201238593</v>
      </c>
      <c r="H439">
        <v>0.39742112159728998</v>
      </c>
      <c r="I439">
        <v>0.63056617975234996</v>
      </c>
      <c r="J439">
        <v>-0.68045395612716697</v>
      </c>
      <c r="K439">
        <v>0.66413092613220204</v>
      </c>
      <c r="L439">
        <v>-6.2173483893275304E-3</v>
      </c>
      <c r="M439">
        <v>2.15807761996984E-2</v>
      </c>
      <c r="N439">
        <v>0.56741845607757568</v>
      </c>
      <c r="O439">
        <v>0.42083019018173218</v>
      </c>
      <c r="P439" s="6">
        <v>1.595334529876709</v>
      </c>
      <c r="Q439" s="6">
        <v>0.83756804466247559</v>
      </c>
      <c r="R439">
        <v>0</v>
      </c>
      <c r="S439">
        <v>1</v>
      </c>
      <c r="T439">
        <f t="shared" si="16"/>
        <v>4.7925517393467412E-2</v>
      </c>
    </row>
    <row r="440" spans="1:20" x14ac:dyDescent="0.3">
      <c r="A440" s="1" t="s">
        <v>6</v>
      </c>
      <c r="B440" s="1">
        <v>18</v>
      </c>
      <c r="C440" s="1">
        <v>2013</v>
      </c>
      <c r="D440" s="1">
        <v>11.1047071149006</v>
      </c>
      <c r="E440">
        <v>13.594891604398599</v>
      </c>
      <c r="F440">
        <v>3.75</v>
      </c>
      <c r="G440">
        <v>9.7266172685826202</v>
      </c>
      <c r="H440">
        <v>0.46361961960792503</v>
      </c>
      <c r="I440">
        <v>0.60694712400436401</v>
      </c>
      <c r="J440">
        <v>-0.44136616587638899</v>
      </c>
      <c r="K440">
        <v>0.72580498456955</v>
      </c>
      <c r="L440">
        <v>4.9099563620984598E-3</v>
      </c>
      <c r="M440">
        <v>0.138750940561295</v>
      </c>
      <c r="N440">
        <v>0.54210048913955688</v>
      </c>
      <c r="O440">
        <v>0.33036401867866516</v>
      </c>
      <c r="P440" s="6">
        <v>2.2808303833007813</v>
      </c>
      <c r="Q440" s="6">
        <v>1</v>
      </c>
      <c r="R440">
        <v>0</v>
      </c>
      <c r="S440">
        <v>1</v>
      </c>
      <c r="T440">
        <f t="shared" si="16"/>
        <v>5.9859143782801008E-2</v>
      </c>
    </row>
    <row r="441" spans="1:20" x14ac:dyDescent="0.3">
      <c r="A441" s="1" t="s">
        <v>6</v>
      </c>
      <c r="B441" s="1">
        <v>18</v>
      </c>
      <c r="C441" s="1">
        <v>2014</v>
      </c>
      <c r="D441" s="1">
        <v>11.056847673479</v>
      </c>
      <c r="E441">
        <v>11.9097117693843</v>
      </c>
      <c r="F441">
        <v>4</v>
      </c>
      <c r="G441">
        <v>8.42567997815752</v>
      </c>
      <c r="H441">
        <v>0.82827913761138905</v>
      </c>
      <c r="I441">
        <v>0.42418351769447299</v>
      </c>
      <c r="J441">
        <v>-0.32150754332542397</v>
      </c>
      <c r="K441">
        <v>0.76002752780914296</v>
      </c>
      <c r="L441">
        <v>0.22474896907806399</v>
      </c>
      <c r="M441">
        <v>0.28458866477012601</v>
      </c>
      <c r="N441">
        <v>0.36160367727279663</v>
      </c>
      <c r="O441">
        <v>0.13210123777389526</v>
      </c>
      <c r="P441" s="6">
        <v>2.2808303833007813</v>
      </c>
      <c r="Q441" s="6">
        <v>1</v>
      </c>
      <c r="R441">
        <v>0</v>
      </c>
      <c r="S441">
        <v>1</v>
      </c>
      <c r="T441">
        <f t="shared" si="16"/>
        <v>-4.3098337422498396E-3</v>
      </c>
    </row>
    <row r="442" spans="1:20" x14ac:dyDescent="0.3">
      <c r="A442" s="1" t="s">
        <v>6</v>
      </c>
      <c r="B442" s="1">
        <v>18</v>
      </c>
      <c r="C442" s="1">
        <v>2015</v>
      </c>
      <c r="D442" s="1">
        <v>9.5819813727680998</v>
      </c>
      <c r="E442">
        <v>12.488475463080301</v>
      </c>
      <c r="F442">
        <v>8</v>
      </c>
      <c r="G442">
        <v>8.9102068912568093</v>
      </c>
      <c r="H442">
        <v>0.70073515176773105</v>
      </c>
      <c r="I442">
        <v>0.263111501932144</v>
      </c>
      <c r="J442">
        <v>-0.47215375304222101</v>
      </c>
      <c r="K442">
        <v>0.75086629390716597</v>
      </c>
      <c r="L442">
        <v>0.22280541062355</v>
      </c>
      <c r="M442">
        <v>0.27465921640396102</v>
      </c>
      <c r="N442">
        <v>0.23801252245903015</v>
      </c>
      <c r="O442">
        <v>0.36870604753494263</v>
      </c>
      <c r="P442" s="6">
        <v>2.2808303833007813</v>
      </c>
      <c r="Q442" s="6">
        <v>1</v>
      </c>
      <c r="R442">
        <v>0</v>
      </c>
      <c r="S442">
        <v>1</v>
      </c>
      <c r="T442">
        <f t="shared" si="16"/>
        <v>-0.13338940213932046</v>
      </c>
    </row>
    <row r="443" spans="1:20" x14ac:dyDescent="0.3">
      <c r="A443" s="1" t="s">
        <v>6</v>
      </c>
      <c r="B443" s="1">
        <v>18</v>
      </c>
      <c r="C443" s="1">
        <v>2016</v>
      </c>
      <c r="D443" s="1">
        <v>9.8467442535446406</v>
      </c>
      <c r="E443">
        <v>12.6209166666666</v>
      </c>
      <c r="F443">
        <v>6.5</v>
      </c>
      <c r="G443">
        <v>9.9386814299136095</v>
      </c>
      <c r="H443">
        <v>0.71353071928024303</v>
      </c>
      <c r="I443">
        <v>0.42089629173278797</v>
      </c>
      <c r="J443">
        <v>-0.32011508941650402</v>
      </c>
      <c r="K443">
        <v>0.86148971319198597</v>
      </c>
      <c r="L443">
        <v>0.33577191829681402</v>
      </c>
      <c r="M443">
        <v>0.29569926857948298</v>
      </c>
      <c r="N443">
        <v>0.18691319227218628</v>
      </c>
      <c r="O443">
        <v>0.35873079299926758</v>
      </c>
      <c r="P443" s="6">
        <v>2.2808303833007813</v>
      </c>
      <c r="Q443" s="6">
        <v>1</v>
      </c>
      <c r="R443">
        <v>0</v>
      </c>
      <c r="S443">
        <v>1</v>
      </c>
      <c r="T443">
        <f t="shared" si="16"/>
        <v>2.7631329103706501E-2</v>
      </c>
    </row>
    <row r="444" spans="1:20" x14ac:dyDescent="0.3">
      <c r="A444" s="1" t="s">
        <v>6</v>
      </c>
      <c r="B444" s="1">
        <v>18</v>
      </c>
      <c r="C444" s="1">
        <v>2017</v>
      </c>
      <c r="D444" s="1">
        <v>10.890132380253</v>
      </c>
      <c r="E444">
        <v>11.485383333333299</v>
      </c>
      <c r="F444">
        <v>7.25</v>
      </c>
      <c r="G444">
        <v>9.6525240055332997</v>
      </c>
      <c r="H444">
        <v>0.75949561595916704</v>
      </c>
      <c r="I444">
        <v>0.48150432109832803</v>
      </c>
      <c r="J444">
        <v>-0.37521475553512601</v>
      </c>
      <c r="K444">
        <v>0.94906020164489702</v>
      </c>
      <c r="L444">
        <v>0.26274272799491899</v>
      </c>
      <c r="M444">
        <v>0.26513507962226901</v>
      </c>
      <c r="N444">
        <v>0.22414995729923248</v>
      </c>
      <c r="O444">
        <v>0.58556389808654785</v>
      </c>
      <c r="P444" s="6">
        <v>2.2808303833007813</v>
      </c>
      <c r="Q444" s="6">
        <v>1</v>
      </c>
      <c r="R444">
        <v>0</v>
      </c>
      <c r="S444">
        <v>1</v>
      </c>
      <c r="T444">
        <f t="shared" si="16"/>
        <v>0.10596275274771758</v>
      </c>
    </row>
    <row r="445" spans="1:20" x14ac:dyDescent="0.3">
      <c r="A445" s="1" t="s">
        <v>6</v>
      </c>
      <c r="B445" s="1">
        <v>18</v>
      </c>
      <c r="C445" s="1">
        <v>2018</v>
      </c>
      <c r="D445" s="1">
        <v>11.3631244569541</v>
      </c>
      <c r="E445">
        <v>11.1193916666666</v>
      </c>
      <c r="F445">
        <v>7</v>
      </c>
      <c r="G445">
        <v>8.8325999999999993</v>
      </c>
      <c r="H445">
        <v>0.72481679916381803</v>
      </c>
      <c r="I445">
        <v>0.51813352108001698</v>
      </c>
      <c r="J445">
        <v>-0.44756287336349498</v>
      </c>
      <c r="K445">
        <v>1.0319906473159799</v>
      </c>
      <c r="L445">
        <v>0.27051076292991599</v>
      </c>
      <c r="M445">
        <v>0.22904649376869199</v>
      </c>
      <c r="N445">
        <v>0.28916612267494202</v>
      </c>
      <c r="O445">
        <v>0.65485119819641113</v>
      </c>
      <c r="P445" s="6">
        <v>2.2808303833007813</v>
      </c>
      <c r="Q445" s="6">
        <v>1</v>
      </c>
      <c r="R445">
        <v>0</v>
      </c>
      <c r="S445">
        <v>1</v>
      </c>
      <c r="T445">
        <f t="shared" si="16"/>
        <v>4.3433087880435081E-2</v>
      </c>
    </row>
    <row r="446" spans="1:20" x14ac:dyDescent="0.3">
      <c r="A446" s="1" t="s">
        <v>6</v>
      </c>
      <c r="B446" s="1">
        <v>18</v>
      </c>
      <c r="C446" s="1">
        <v>2019</v>
      </c>
      <c r="D446" s="1">
        <v>12.8028589642654</v>
      </c>
      <c r="E446">
        <v>10.8164</v>
      </c>
      <c r="F446">
        <v>9</v>
      </c>
      <c r="G446">
        <v>8.7068749999999895</v>
      </c>
      <c r="H446">
        <v>0.71654546260833696</v>
      </c>
      <c r="I446">
        <v>0.76619946956634499</v>
      </c>
      <c r="J446">
        <v>-0.49817195534706099</v>
      </c>
      <c r="K446">
        <v>1.0265241861343399</v>
      </c>
      <c r="L446">
        <v>0.24869154393672899</v>
      </c>
      <c r="M446">
        <v>0.16809274256229401</v>
      </c>
      <c r="N446">
        <v>0.34853118658065796</v>
      </c>
      <c r="O446">
        <v>0.68161582946777344</v>
      </c>
      <c r="P446" s="6">
        <v>2.2808303833007813</v>
      </c>
      <c r="Q446" s="6">
        <v>1</v>
      </c>
      <c r="R446">
        <v>0</v>
      </c>
      <c r="S446">
        <v>1</v>
      </c>
      <c r="T446">
        <f t="shared" si="16"/>
        <v>0.12670234430374466</v>
      </c>
    </row>
    <row r="447" spans="1:20" x14ac:dyDescent="0.3">
      <c r="A447" s="1" t="s">
        <v>6</v>
      </c>
      <c r="B447" s="1">
        <v>18</v>
      </c>
      <c r="C447" s="1">
        <v>2020</v>
      </c>
      <c r="D447" s="1">
        <v>13.1764161481873</v>
      </c>
      <c r="E447">
        <v>11.800800000000001</v>
      </c>
      <c r="F447">
        <v>8</v>
      </c>
      <c r="G447">
        <v>10.222208333333301</v>
      </c>
      <c r="H447">
        <v>0.60149264335632302</v>
      </c>
      <c r="I447">
        <v>0.71673840284347501</v>
      </c>
      <c r="J447">
        <v>-0.42961063981056202</v>
      </c>
      <c r="K447">
        <v>1.0011676549911499</v>
      </c>
      <c r="L447">
        <v>0.222878128290176</v>
      </c>
      <c r="M447">
        <v>5.5609058588743203E-2</v>
      </c>
      <c r="N447">
        <v>0.15148060023784637</v>
      </c>
      <c r="O447">
        <v>0.56364250183105469</v>
      </c>
      <c r="P447" s="6">
        <v>2.2808303833007813</v>
      </c>
      <c r="Q447" s="6">
        <v>1</v>
      </c>
      <c r="R447">
        <v>0</v>
      </c>
      <c r="S447">
        <v>1</v>
      </c>
      <c r="T447">
        <f t="shared" si="16"/>
        <v>2.9177637976373173E-2</v>
      </c>
    </row>
    <row r="448" spans="1:20" x14ac:dyDescent="0.3">
      <c r="A448" s="1" t="s">
        <v>6</v>
      </c>
      <c r="B448" s="1">
        <v>18</v>
      </c>
      <c r="C448" s="1">
        <v>2021</v>
      </c>
      <c r="D448" s="1">
        <v>14.0238156359641</v>
      </c>
      <c r="E448">
        <v>12.510491666666599</v>
      </c>
      <c r="F448" s="2">
        <v>10.5</v>
      </c>
      <c r="G448">
        <v>10.311733333333301</v>
      </c>
      <c r="H448">
        <v>0.66107952594757102</v>
      </c>
      <c r="I448">
        <v>0.61652940511703502</v>
      </c>
      <c r="J448">
        <v>-0.42962023615837103</v>
      </c>
      <c r="K448">
        <v>1.0534195899963399</v>
      </c>
      <c r="L448">
        <v>0.14443676173687001</v>
      </c>
      <c r="M448">
        <v>1.0173449292779E-2</v>
      </c>
      <c r="N448">
        <v>0.24004821181297303</v>
      </c>
      <c r="O448">
        <v>0.56888084411621098</v>
      </c>
      <c r="P448" s="6">
        <v>2.2808303833007813</v>
      </c>
      <c r="Q448" s="6">
        <v>1</v>
      </c>
      <c r="R448">
        <v>0</v>
      </c>
      <c r="S448">
        <v>1</v>
      </c>
      <c r="T448">
        <f t="shared" si="16"/>
        <v>6.4311833980241859E-2</v>
      </c>
    </row>
    <row r="449" spans="1:20" x14ac:dyDescent="0.3">
      <c r="A449" s="1" t="s">
        <v>6</v>
      </c>
      <c r="B449" s="1">
        <v>18</v>
      </c>
      <c r="C449" s="1">
        <v>2022</v>
      </c>
      <c r="D449" s="1">
        <v>15.424276060998499</v>
      </c>
      <c r="E449">
        <v>13.655324999999999</v>
      </c>
      <c r="F449">
        <v>11</v>
      </c>
      <c r="G449">
        <v>11.636908333333301</v>
      </c>
      <c r="H449">
        <v>0.62042003870010398</v>
      </c>
      <c r="I449">
        <v>0.65014308691024802</v>
      </c>
      <c r="J449">
        <v>-0.43653005361557001</v>
      </c>
      <c r="K449">
        <v>1.0323086977005</v>
      </c>
      <c r="L449">
        <v>0.16946941614151001</v>
      </c>
      <c r="M449">
        <v>1.5639826655387899E-2</v>
      </c>
      <c r="N449">
        <v>0.25067521572113038</v>
      </c>
      <c r="O449">
        <v>0.61091085433959957</v>
      </c>
      <c r="P449" s="6">
        <v>2.2808303833007813</v>
      </c>
      <c r="Q449" s="6">
        <v>1</v>
      </c>
      <c r="R449">
        <v>0</v>
      </c>
      <c r="S449">
        <v>1</v>
      </c>
      <c r="T449">
        <f t="shared" si="16"/>
        <v>9.9863008854945035E-2</v>
      </c>
    </row>
    <row r="450" spans="1:20" x14ac:dyDescent="0.3">
      <c r="A450" s="1" t="s">
        <v>6</v>
      </c>
      <c r="B450" s="1">
        <v>18</v>
      </c>
      <c r="C450" s="1">
        <v>2023</v>
      </c>
      <c r="D450" s="1">
        <v>13.6504078223071</v>
      </c>
      <c r="E450">
        <v>16.0082436245448</v>
      </c>
      <c r="F450">
        <v>9.5</v>
      </c>
      <c r="G450">
        <v>11.4569215961506</v>
      </c>
      <c r="H450">
        <v>0.61769479513168302</v>
      </c>
      <c r="I450">
        <v>0.79128587245941195</v>
      </c>
      <c r="J450">
        <v>-0.33555412292480502</v>
      </c>
      <c r="K450">
        <v>0.94657814502716098</v>
      </c>
      <c r="L450">
        <v>0.177279338240623</v>
      </c>
      <c r="M450">
        <v>3.4713134169578601E-2</v>
      </c>
      <c r="N450">
        <v>0.25598026740550994</v>
      </c>
      <c r="O450">
        <v>0.61598024559020992</v>
      </c>
      <c r="P450" s="6">
        <v>2.2808303833007813</v>
      </c>
      <c r="Q450" s="6">
        <v>1</v>
      </c>
      <c r="R450">
        <v>0</v>
      </c>
      <c r="S450">
        <v>1</v>
      </c>
      <c r="T450">
        <f t="shared" si="16"/>
        <v>-0.11500495917450319</v>
      </c>
    </row>
    <row r="451" spans="1:20" x14ac:dyDescent="0.3">
      <c r="A451" s="1" t="s">
        <v>6</v>
      </c>
      <c r="B451" s="1">
        <v>18</v>
      </c>
      <c r="C451" s="1">
        <v>2024</v>
      </c>
      <c r="D451" s="1">
        <v>11.8704808635887</v>
      </c>
      <c r="E451">
        <v>14.9367295752734</v>
      </c>
      <c r="F451">
        <v>8</v>
      </c>
      <c r="G451">
        <v>10.396371499819701</v>
      </c>
      <c r="H451">
        <v>0.64344649314880364</v>
      </c>
      <c r="I451">
        <v>0.70817924737930305</v>
      </c>
      <c r="J451">
        <v>-0.42589740157127381</v>
      </c>
      <c r="K451">
        <v>1.0119996547698982</v>
      </c>
      <c r="L451">
        <v>0.19255103766918161</v>
      </c>
      <c r="M451">
        <v>5.6845642253756545E-2</v>
      </c>
      <c r="N451">
        <v>0.24934309635162352</v>
      </c>
      <c r="O451">
        <v>0.60820605506896963</v>
      </c>
      <c r="P451" s="6">
        <v>2.2808303833007813</v>
      </c>
      <c r="Q451" s="6">
        <v>1</v>
      </c>
      <c r="R451">
        <v>0</v>
      </c>
      <c r="S451">
        <v>1</v>
      </c>
      <c r="T451">
        <f t="shared" si="16"/>
        <v>-0.13039368360919557</v>
      </c>
    </row>
    <row r="452" spans="1:20" x14ac:dyDescent="0.3">
      <c r="A452" s="1" t="s">
        <v>5</v>
      </c>
      <c r="B452" s="1">
        <v>19</v>
      </c>
      <c r="C452" s="1">
        <v>2000</v>
      </c>
      <c r="D452" s="1">
        <v>0.72124148616832195</v>
      </c>
      <c r="E452">
        <v>18.454999999999998</v>
      </c>
      <c r="F452">
        <v>14.53</v>
      </c>
      <c r="G452">
        <v>12.5033333333333</v>
      </c>
      <c r="H452">
        <v>-0.90869444608688399</v>
      </c>
      <c r="I452">
        <v>-0.36605402827262901</v>
      </c>
      <c r="J452">
        <v>-1.99520063400269</v>
      </c>
      <c r="K452">
        <v>-0.26039990782737699</v>
      </c>
      <c r="L452">
        <v>-0.696610867977142</v>
      </c>
      <c r="M452">
        <v>-0.27017590403556802</v>
      </c>
      <c r="N452">
        <v>0.19176250696182251</v>
      </c>
      <c r="O452">
        <v>0.52167916297912598</v>
      </c>
      <c r="P452">
        <v>1.0219684839248657</v>
      </c>
      <c r="Q452">
        <v>0.70170581340789795</v>
      </c>
      <c r="R452">
        <v>0</v>
      </c>
      <c r="S452">
        <v>0</v>
      </c>
    </row>
    <row r="453" spans="1:20" x14ac:dyDescent="0.3">
      <c r="A453" s="1" t="s">
        <v>5</v>
      </c>
      <c r="B453" s="1">
        <v>19</v>
      </c>
      <c r="C453" s="1">
        <v>2001</v>
      </c>
      <c r="D453" s="1">
        <v>0.651928886426835</v>
      </c>
      <c r="E453">
        <v>18.547499999999999</v>
      </c>
      <c r="F453" s="2">
        <v>17.62</v>
      </c>
      <c r="G453">
        <v>15.4816666666666</v>
      </c>
      <c r="H453">
        <v>-1.0229987204074869</v>
      </c>
      <c r="I453">
        <v>-0.45828853547573101</v>
      </c>
      <c r="J453">
        <v>-1.789222419261935</v>
      </c>
      <c r="K453">
        <v>-0.50134362280368805</v>
      </c>
      <c r="L453">
        <v>-0.80343779921531655</v>
      </c>
      <c r="M453">
        <v>-0.27103960514068604</v>
      </c>
      <c r="N453">
        <v>0.10869187116622925</v>
      </c>
      <c r="O453">
        <v>0.29761779308319092</v>
      </c>
      <c r="P453">
        <v>1.0219684839248657</v>
      </c>
      <c r="Q453">
        <v>0.70170581340789795</v>
      </c>
      <c r="R453">
        <v>0</v>
      </c>
      <c r="S453">
        <v>0</v>
      </c>
      <c r="T453">
        <f>((D453-D452)/D452)</f>
        <v>-9.6101792632198799E-2</v>
      </c>
    </row>
    <row r="454" spans="1:20" x14ac:dyDescent="0.3">
      <c r="A454" s="1" t="s">
        <v>5</v>
      </c>
      <c r="B454" s="1">
        <v>19</v>
      </c>
      <c r="C454" s="1">
        <v>2002</v>
      </c>
      <c r="D454" s="1">
        <v>0.643419007825212</v>
      </c>
      <c r="E454">
        <v>18.945</v>
      </c>
      <c r="F454" s="2">
        <v>12.93</v>
      </c>
      <c r="G454">
        <v>15.5025</v>
      </c>
      <c r="H454">
        <v>-1.1373029947280899</v>
      </c>
      <c r="I454">
        <v>-0.55052304267883301</v>
      </c>
      <c r="J454">
        <v>-1.5832442045211801</v>
      </c>
      <c r="K454">
        <v>-0.742287337779999</v>
      </c>
      <c r="L454">
        <v>-0.91026473045349099</v>
      </c>
      <c r="M454">
        <v>-0.271903306245804</v>
      </c>
      <c r="N454">
        <v>0.24767856299877167</v>
      </c>
      <c r="O454">
        <v>0.29837816953659058</v>
      </c>
      <c r="P454">
        <v>1.0219684839248657</v>
      </c>
      <c r="Q454">
        <v>0.70170581340789795</v>
      </c>
      <c r="R454">
        <v>0</v>
      </c>
      <c r="S454">
        <v>0</v>
      </c>
      <c r="T454">
        <f t="shared" ref="T454:T476" si="17">((D454-D453)/D453)</f>
        <v>-1.3053384776773579E-2</v>
      </c>
    </row>
    <row r="455" spans="1:20" x14ac:dyDescent="0.3">
      <c r="A455" s="1" t="s">
        <v>5</v>
      </c>
      <c r="B455" s="1">
        <v>19</v>
      </c>
      <c r="C455" s="1">
        <v>2003</v>
      </c>
      <c r="D455" s="1">
        <v>0.63410730835103102</v>
      </c>
      <c r="E455">
        <v>16.934999999999999</v>
      </c>
      <c r="F455" s="2">
        <v>8.31</v>
      </c>
      <c r="G455">
        <v>10.59</v>
      </c>
      <c r="H455">
        <v>-0.97982358932495095</v>
      </c>
      <c r="I455">
        <v>-0.59645450115203902</v>
      </c>
      <c r="J455">
        <v>-2.0953948497772199</v>
      </c>
      <c r="K455">
        <v>-0.86609733104705799</v>
      </c>
      <c r="L455">
        <v>-0.85910069942474399</v>
      </c>
      <c r="M455">
        <v>-0.29938605427741999</v>
      </c>
      <c r="N455">
        <v>0.34540668129920959</v>
      </c>
      <c r="O455">
        <v>0.28118550777435303</v>
      </c>
      <c r="P455">
        <v>1.0219684839248657</v>
      </c>
      <c r="Q455">
        <v>0.70170581340789795</v>
      </c>
      <c r="R455">
        <v>0</v>
      </c>
      <c r="S455">
        <v>0</v>
      </c>
      <c r="T455">
        <f t="shared" si="17"/>
        <v>-1.4472216954943534E-2</v>
      </c>
    </row>
    <row r="456" spans="1:20" x14ac:dyDescent="0.3">
      <c r="A456" s="1" t="s">
        <v>5</v>
      </c>
      <c r="B456" s="1">
        <v>19</v>
      </c>
      <c r="C456" s="1">
        <v>2004</v>
      </c>
      <c r="D456" s="1">
        <v>0.72665382937342904</v>
      </c>
      <c r="E456">
        <v>14.1241666666666</v>
      </c>
      <c r="F456" s="2">
        <v>7.43</v>
      </c>
      <c r="G456">
        <v>6.4433333333333298</v>
      </c>
      <c r="H456">
        <v>-0.97661179304122903</v>
      </c>
      <c r="I456">
        <v>-0.49050500988960299</v>
      </c>
      <c r="J456">
        <v>-1.9086055755615201</v>
      </c>
      <c r="K456">
        <v>-0.73582422733306896</v>
      </c>
      <c r="L456">
        <v>-0.73288017511367798</v>
      </c>
      <c r="M456">
        <v>-0.255447417497635</v>
      </c>
      <c r="N456">
        <v>0.29612991213798523</v>
      </c>
      <c r="O456">
        <v>0.2240605503320694</v>
      </c>
      <c r="P456">
        <v>1.0219684839248657</v>
      </c>
      <c r="Q456">
        <v>0.70170581340789795</v>
      </c>
      <c r="R456">
        <v>0</v>
      </c>
      <c r="S456">
        <v>0</v>
      </c>
      <c r="T456">
        <f t="shared" si="17"/>
        <v>0.14594772809520409</v>
      </c>
    </row>
    <row r="457" spans="1:20" x14ac:dyDescent="0.3">
      <c r="A457" s="1" t="s">
        <v>5</v>
      </c>
      <c r="B457" s="1">
        <v>19</v>
      </c>
      <c r="C457" s="1">
        <v>2005</v>
      </c>
      <c r="D457" s="1">
        <v>1.8958431827858599</v>
      </c>
      <c r="E457">
        <v>14.0508333333333</v>
      </c>
      <c r="F457" s="2">
        <v>12.75</v>
      </c>
      <c r="G457">
        <v>8.0791666666666604</v>
      </c>
      <c r="H457">
        <v>-0.90605181455612205</v>
      </c>
      <c r="I457">
        <v>-0.50264471769332897</v>
      </c>
      <c r="J457">
        <v>-1.5181759595871001</v>
      </c>
      <c r="K457">
        <v>-0.64694803953170799</v>
      </c>
      <c r="L457">
        <v>-0.79787218570709195</v>
      </c>
      <c r="M457">
        <v>-0.12192551791667899</v>
      </c>
      <c r="N457">
        <v>0.34151393175125122</v>
      </c>
      <c r="O457">
        <v>0.42364880442619324</v>
      </c>
      <c r="P457">
        <v>1.0219684839248657</v>
      </c>
      <c r="Q457">
        <v>0.70170581340789795</v>
      </c>
      <c r="R457">
        <v>0</v>
      </c>
      <c r="S457">
        <v>0</v>
      </c>
      <c r="T457">
        <f t="shared" si="17"/>
        <v>1.6090045990958122</v>
      </c>
    </row>
    <row r="458" spans="1:20" x14ac:dyDescent="0.3">
      <c r="A458" s="1" t="s">
        <v>5</v>
      </c>
      <c r="B458" s="1">
        <v>19</v>
      </c>
      <c r="C458" s="1">
        <v>2006</v>
      </c>
      <c r="D458" s="1">
        <v>1.5696161021131301</v>
      </c>
      <c r="E458">
        <v>15.9791666666666</v>
      </c>
      <c r="F458">
        <v>9.75</v>
      </c>
      <c r="G458">
        <v>11.410833333333301</v>
      </c>
      <c r="H458">
        <v>-0.86427628993988004</v>
      </c>
      <c r="I458">
        <v>-0.348611891269684</v>
      </c>
      <c r="J458">
        <v>-1.4176669120788601</v>
      </c>
      <c r="K458">
        <v>-0.39619559049606301</v>
      </c>
      <c r="L458">
        <v>-0.69445085525512695</v>
      </c>
      <c r="M458">
        <v>-8.4252528846263899E-2</v>
      </c>
      <c r="N458">
        <v>0.28364622592926025</v>
      </c>
      <c r="O458">
        <v>0.36217981576919556</v>
      </c>
      <c r="P458">
        <v>1.0219684839248657</v>
      </c>
      <c r="Q458">
        <v>0.70170581340789795</v>
      </c>
      <c r="R458">
        <v>0</v>
      </c>
      <c r="S458">
        <v>0</v>
      </c>
      <c r="T458">
        <f t="shared" si="17"/>
        <v>-0.17207492878886388</v>
      </c>
    </row>
    <row r="459" spans="1:20" x14ac:dyDescent="0.3">
      <c r="A459" s="1" t="s">
        <v>5</v>
      </c>
      <c r="B459" s="1">
        <v>19</v>
      </c>
      <c r="C459" s="1">
        <v>2007</v>
      </c>
      <c r="D459" s="1">
        <v>1.4285286663785299</v>
      </c>
      <c r="E459">
        <v>13.861666666666601</v>
      </c>
      <c r="F459">
        <v>8</v>
      </c>
      <c r="G459">
        <v>7.9758333333333304</v>
      </c>
      <c r="H459">
        <v>-0.63050919771194502</v>
      </c>
      <c r="I459">
        <v>-0.30746361613273598</v>
      </c>
      <c r="J459">
        <v>-1.19806575775146</v>
      </c>
      <c r="K459">
        <v>-0.38859167695045499</v>
      </c>
      <c r="L459">
        <v>-0.69898992776870705</v>
      </c>
      <c r="M459">
        <v>-1.98048055171967E-2</v>
      </c>
      <c r="N459">
        <v>0.33917126059532166</v>
      </c>
      <c r="O459">
        <v>0.64945602416992188</v>
      </c>
      <c r="P459">
        <v>1.0219684839248657</v>
      </c>
      <c r="Q459">
        <v>0.70170581340789795</v>
      </c>
      <c r="R459">
        <v>0</v>
      </c>
      <c r="S459">
        <v>0</v>
      </c>
      <c r="T459">
        <f t="shared" si="17"/>
        <v>-8.988658790175387E-2</v>
      </c>
    </row>
    <row r="460" spans="1:20" x14ac:dyDescent="0.3">
      <c r="A460" s="1" t="s">
        <v>5</v>
      </c>
      <c r="B460" s="1">
        <v>19</v>
      </c>
      <c r="C460" s="1">
        <v>2008</v>
      </c>
      <c r="D460" s="1">
        <v>1.3315993002781199</v>
      </c>
      <c r="E460">
        <v>13.598333333333301</v>
      </c>
      <c r="F460">
        <v>9.25</v>
      </c>
      <c r="G460">
        <v>8.4924999999999997</v>
      </c>
      <c r="H460">
        <v>-0.63908606767654397</v>
      </c>
      <c r="I460">
        <v>-0.26271912455558799</v>
      </c>
      <c r="J460">
        <v>-1.05679154396057</v>
      </c>
      <c r="K460">
        <v>-0.346988946199417</v>
      </c>
      <c r="L460">
        <v>-0.67378258705139205</v>
      </c>
      <c r="M460">
        <v>-1.1261515319347401E-2</v>
      </c>
      <c r="N460">
        <v>0.13346603512763977</v>
      </c>
      <c r="O460">
        <v>0.49727723002433777</v>
      </c>
      <c r="P460">
        <v>1.0219684839248657</v>
      </c>
      <c r="Q460">
        <v>0.70170581340789795</v>
      </c>
      <c r="R460">
        <v>0</v>
      </c>
      <c r="S460">
        <v>0</v>
      </c>
      <c r="T460">
        <f t="shared" si="17"/>
        <v>-6.7852587338086912E-2</v>
      </c>
    </row>
    <row r="461" spans="1:20" x14ac:dyDescent="0.3">
      <c r="A461" s="1" t="s">
        <v>5</v>
      </c>
      <c r="B461" s="1">
        <v>19</v>
      </c>
      <c r="C461" s="1">
        <v>2009</v>
      </c>
      <c r="D461" s="1">
        <v>1.2589247567833</v>
      </c>
      <c r="E461">
        <v>14.498333333333299</v>
      </c>
      <c r="F461">
        <v>6.5</v>
      </c>
      <c r="G461">
        <v>9.2783333333333307</v>
      </c>
      <c r="H461">
        <v>-0.88964062929153398</v>
      </c>
      <c r="I461">
        <v>-0.33005911111831698</v>
      </c>
      <c r="J461">
        <v>-0.75115364789962802</v>
      </c>
      <c r="K461">
        <v>-0.31469470262527499</v>
      </c>
      <c r="L461">
        <v>-0.61193531751632702</v>
      </c>
      <c r="M461">
        <v>-9.97999450191855E-4</v>
      </c>
      <c r="N461">
        <v>0.2207425981760025</v>
      </c>
      <c r="O461">
        <v>0.61460882425308228</v>
      </c>
      <c r="P461">
        <v>1.0219684839248657</v>
      </c>
      <c r="Q461">
        <v>0.70170581340789795</v>
      </c>
      <c r="R461">
        <v>0</v>
      </c>
      <c r="S461">
        <v>0</v>
      </c>
      <c r="T461">
        <f t="shared" si="17"/>
        <v>-5.4576886214675109E-2</v>
      </c>
    </row>
    <row r="462" spans="1:20" x14ac:dyDescent="0.3">
      <c r="A462" s="1" t="s">
        <v>5</v>
      </c>
      <c r="B462" s="1">
        <v>19</v>
      </c>
      <c r="C462" s="1">
        <v>2010</v>
      </c>
      <c r="D462" s="1">
        <v>0.91591902854474505</v>
      </c>
      <c r="E462">
        <v>13.251666666666599</v>
      </c>
      <c r="F462">
        <v>6.5</v>
      </c>
      <c r="G462">
        <v>7.0166666666666604</v>
      </c>
      <c r="H462">
        <v>-0.80353450775146495</v>
      </c>
      <c r="I462">
        <v>-0.26694101095199602</v>
      </c>
      <c r="J462">
        <v>-0.85391616821289096</v>
      </c>
      <c r="K462">
        <v>-0.38086059689521801</v>
      </c>
      <c r="L462">
        <v>-0.65604490041732799</v>
      </c>
      <c r="M462">
        <v>-3.7748463451862301E-2</v>
      </c>
      <c r="N462">
        <v>0.45440715551376343</v>
      </c>
      <c r="O462">
        <v>0.37889081239700317</v>
      </c>
      <c r="P462">
        <v>1.0219684839248657</v>
      </c>
      <c r="Q462">
        <v>0.70170581340789795</v>
      </c>
      <c r="R462">
        <v>0</v>
      </c>
      <c r="S462">
        <v>0</v>
      </c>
      <c r="T462">
        <f t="shared" si="17"/>
        <v>-0.27245927637087275</v>
      </c>
    </row>
    <row r="463" spans="1:20" x14ac:dyDescent="0.3">
      <c r="A463" s="1" t="s">
        <v>5</v>
      </c>
      <c r="B463" s="1">
        <v>19</v>
      </c>
      <c r="C463" s="1">
        <v>2011</v>
      </c>
      <c r="D463" s="1">
        <v>0.77538746592867902</v>
      </c>
      <c r="E463">
        <v>12.4033333333333</v>
      </c>
      <c r="F463">
        <v>6</v>
      </c>
      <c r="G463">
        <v>6.9308333333333296</v>
      </c>
      <c r="H463">
        <v>-0.75587069988250699</v>
      </c>
      <c r="I463">
        <v>-0.32159194350242598</v>
      </c>
      <c r="J463">
        <v>-0.77011418342590299</v>
      </c>
      <c r="K463">
        <v>-0.31018862128257801</v>
      </c>
      <c r="L463">
        <v>-0.59964394569396995</v>
      </c>
      <c r="M463">
        <v>-8.5310135036706907E-3</v>
      </c>
      <c r="N463">
        <v>0.35303899645805359</v>
      </c>
      <c r="O463">
        <v>0.4916875958442688</v>
      </c>
      <c r="P463">
        <v>-0.17476625740528107</v>
      </c>
      <c r="Q463">
        <v>0.4181329607963562</v>
      </c>
      <c r="R463">
        <v>0</v>
      </c>
      <c r="S463">
        <v>0</v>
      </c>
      <c r="T463">
        <f t="shared" si="17"/>
        <v>-0.15343229940243641</v>
      </c>
    </row>
    <row r="464" spans="1:20" x14ac:dyDescent="0.3">
      <c r="A464" s="1" t="s">
        <v>5</v>
      </c>
      <c r="B464" s="1">
        <v>19</v>
      </c>
      <c r="C464" s="1">
        <v>2012</v>
      </c>
      <c r="D464" s="1">
        <v>0.78575367519922201</v>
      </c>
      <c r="E464">
        <v>11.795</v>
      </c>
      <c r="F464">
        <v>5.75</v>
      </c>
      <c r="G464">
        <v>5.9466666666666601</v>
      </c>
      <c r="H464">
        <v>-0.68910580873489402</v>
      </c>
      <c r="I464">
        <v>-0.33047968149185197</v>
      </c>
      <c r="J464">
        <v>-0.59326279163360596</v>
      </c>
      <c r="K464">
        <v>-0.22185291349887801</v>
      </c>
      <c r="L464">
        <v>-0.58356904983520497</v>
      </c>
      <c r="M464">
        <v>6.7612648010253906E-2</v>
      </c>
      <c r="N464">
        <v>0.44473403692245483</v>
      </c>
      <c r="O464">
        <v>0.55991923809051514</v>
      </c>
      <c r="P464">
        <v>-0.17476625740528107</v>
      </c>
      <c r="Q464">
        <v>0.4181329607963562</v>
      </c>
      <c r="R464">
        <v>0</v>
      </c>
      <c r="S464">
        <v>0</v>
      </c>
      <c r="T464">
        <f t="shared" si="17"/>
        <v>1.336906995024406E-2</v>
      </c>
    </row>
    <row r="465" spans="1:20" x14ac:dyDescent="0.3">
      <c r="A465" s="1" t="s">
        <v>5</v>
      </c>
      <c r="B465" s="1">
        <v>19</v>
      </c>
      <c r="C465" s="1">
        <v>2013</v>
      </c>
      <c r="D465" s="1">
        <v>0.83443484217463404</v>
      </c>
      <c r="E465">
        <v>11.657500000000001</v>
      </c>
      <c r="F465">
        <v>7.5</v>
      </c>
      <c r="G465">
        <v>6.26416666666666</v>
      </c>
      <c r="H465">
        <v>-0.66029179096221902</v>
      </c>
      <c r="I465">
        <v>-0.24426235258579301</v>
      </c>
      <c r="J465">
        <v>-0.51926463842392001</v>
      </c>
      <c r="K465">
        <v>-0.12326587736606601</v>
      </c>
      <c r="L465">
        <v>-0.533516585826874</v>
      </c>
      <c r="M465">
        <v>3.6043047904968303E-2</v>
      </c>
      <c r="N465">
        <v>0.24929802119731903</v>
      </c>
      <c r="O465">
        <v>0.71277999877929688</v>
      </c>
      <c r="P465">
        <v>-0.17476625740528107</v>
      </c>
      <c r="Q465">
        <v>0.4181329607963562</v>
      </c>
      <c r="R465">
        <v>0</v>
      </c>
      <c r="S465">
        <v>0</v>
      </c>
      <c r="T465">
        <f t="shared" si="17"/>
        <v>6.1954742958178689E-2</v>
      </c>
    </row>
    <row r="466" spans="1:20" x14ac:dyDescent="0.3">
      <c r="A466" s="1" t="s">
        <v>5</v>
      </c>
      <c r="B466" s="1">
        <v>19</v>
      </c>
      <c r="C466" s="1">
        <v>2014</v>
      </c>
      <c r="D466" s="1">
        <v>0.95992622660604499</v>
      </c>
      <c r="E466">
        <v>12.605</v>
      </c>
      <c r="F466">
        <v>7.75</v>
      </c>
      <c r="G466">
        <v>8.7524999999999995</v>
      </c>
      <c r="H466">
        <v>-0.598005831241608</v>
      </c>
      <c r="I466">
        <v>-6.6690765321254702E-2</v>
      </c>
      <c r="J466">
        <v>-0.41682404279708901</v>
      </c>
      <c r="K466">
        <v>-8.3587504923343693E-3</v>
      </c>
      <c r="L466">
        <v>-0.31091845035553001</v>
      </c>
      <c r="M466">
        <v>0.153843909502029</v>
      </c>
      <c r="N466">
        <v>0.278481125831604</v>
      </c>
      <c r="O466">
        <v>0.59777021408081055</v>
      </c>
      <c r="P466">
        <v>-0.17476625740528107</v>
      </c>
      <c r="Q466">
        <v>0.4181329607963562</v>
      </c>
      <c r="R466">
        <v>0</v>
      </c>
      <c r="S466">
        <v>0</v>
      </c>
      <c r="T466">
        <f t="shared" si="17"/>
        <v>0.15039087306609325</v>
      </c>
    </row>
    <row r="467" spans="1:20" x14ac:dyDescent="0.3">
      <c r="A467" s="1" t="s">
        <v>5</v>
      </c>
      <c r="B467" s="1">
        <v>19</v>
      </c>
      <c r="C467" s="1">
        <v>2015</v>
      </c>
      <c r="D467" s="1">
        <v>1.1220446240711299</v>
      </c>
      <c r="E467">
        <v>12.6625</v>
      </c>
      <c r="F467">
        <v>7.5</v>
      </c>
      <c r="G467">
        <v>8.3366666666666607</v>
      </c>
      <c r="H467">
        <v>-0.51908439397811901</v>
      </c>
      <c r="I467">
        <v>-0.325818121433258</v>
      </c>
      <c r="J467">
        <v>-0.619956314563751</v>
      </c>
      <c r="K467">
        <v>-0.158227473497391</v>
      </c>
      <c r="L467">
        <v>-0.424549460411072</v>
      </c>
      <c r="M467">
        <v>0.18487709760665899</v>
      </c>
      <c r="N467">
        <v>0.25237983465194702</v>
      </c>
      <c r="O467">
        <v>0.5928725004196167</v>
      </c>
      <c r="P467">
        <v>-0.17476625740528107</v>
      </c>
      <c r="Q467">
        <v>0.4181329607963562</v>
      </c>
      <c r="R467">
        <v>0</v>
      </c>
      <c r="S467">
        <v>0</v>
      </c>
      <c r="T467">
        <f t="shared" si="17"/>
        <v>0.16888630914719091</v>
      </c>
    </row>
    <row r="468" spans="1:20" x14ac:dyDescent="0.3">
      <c r="A468" s="1" t="s">
        <v>5</v>
      </c>
      <c r="B468" s="1">
        <v>19</v>
      </c>
      <c r="C468" s="1">
        <v>2016</v>
      </c>
      <c r="D468" s="1">
        <v>0.95577552954470602</v>
      </c>
      <c r="E468">
        <v>11.8883333333333</v>
      </c>
      <c r="F468">
        <v>4.75</v>
      </c>
      <c r="G468">
        <v>7.1658935677561999</v>
      </c>
      <c r="H468">
        <v>-0.463151514530182</v>
      </c>
      <c r="I468">
        <v>-5.07822521030903E-2</v>
      </c>
      <c r="J468">
        <v>-0.379699736833572</v>
      </c>
      <c r="K468">
        <v>-3.1375799328088802E-2</v>
      </c>
      <c r="L468">
        <v>-0.33899450302124001</v>
      </c>
      <c r="M468">
        <v>0.16793267428875</v>
      </c>
      <c r="N468">
        <v>0.30794885754585266</v>
      </c>
      <c r="O468">
        <v>0.54345917701721191</v>
      </c>
      <c r="P468">
        <v>-0.17476625740528107</v>
      </c>
      <c r="Q468">
        <v>0.4181329607963562</v>
      </c>
      <c r="R468">
        <v>0</v>
      </c>
      <c r="S468">
        <v>0</v>
      </c>
      <c r="T468">
        <f t="shared" si="17"/>
        <v>-0.14818403025999757</v>
      </c>
    </row>
    <row r="469" spans="1:20" x14ac:dyDescent="0.3">
      <c r="A469" s="1" t="s">
        <v>5</v>
      </c>
      <c r="B469" s="1">
        <v>19</v>
      </c>
      <c r="C469" s="1">
        <v>2017</v>
      </c>
      <c r="D469" s="1">
        <v>0.88512840297805095</v>
      </c>
      <c r="E469">
        <v>11.0733333333333</v>
      </c>
      <c r="F469">
        <v>4.25</v>
      </c>
      <c r="G469">
        <v>6.51833333333333</v>
      </c>
      <c r="H469">
        <v>-0.30527892708778398</v>
      </c>
      <c r="I469">
        <v>-1.97342690080404E-2</v>
      </c>
      <c r="J469">
        <v>-0.50493872165679898</v>
      </c>
      <c r="K469">
        <v>2.7927501127123801E-2</v>
      </c>
      <c r="L469">
        <v>-0.351397454738617</v>
      </c>
      <c r="M469">
        <v>0.131470382213593</v>
      </c>
      <c r="N469">
        <v>0.69035691022872925</v>
      </c>
      <c r="O469">
        <v>0.54345917701721191</v>
      </c>
      <c r="P469">
        <v>-0.17476625740528107</v>
      </c>
      <c r="Q469">
        <v>0.4181329607963562</v>
      </c>
      <c r="R469">
        <v>0</v>
      </c>
      <c r="S469">
        <v>0</v>
      </c>
      <c r="T469">
        <f t="shared" si="17"/>
        <v>-7.391602356706975E-2</v>
      </c>
    </row>
    <row r="470" spans="1:20" x14ac:dyDescent="0.3">
      <c r="A470" s="1" t="s">
        <v>5</v>
      </c>
      <c r="B470" s="1">
        <v>19</v>
      </c>
      <c r="C470" s="1">
        <v>2018</v>
      </c>
      <c r="D470" s="1">
        <v>1.0760482712209201</v>
      </c>
      <c r="E470">
        <v>10.5366666666666</v>
      </c>
      <c r="F470">
        <v>6</v>
      </c>
      <c r="G470">
        <v>6.1291666666666602</v>
      </c>
      <c r="H470">
        <v>-0.29960429668426503</v>
      </c>
      <c r="I470">
        <v>0.14137987792491899</v>
      </c>
      <c r="J470">
        <v>-0.55203402042388905</v>
      </c>
      <c r="K470">
        <v>-2.1816467866301498E-2</v>
      </c>
      <c r="L470">
        <v>-0.31440138816833502</v>
      </c>
      <c r="M470">
        <v>0.16221098601818101</v>
      </c>
      <c r="N470">
        <v>0.29853048920631409</v>
      </c>
      <c r="O470">
        <v>0.54345917701721191</v>
      </c>
      <c r="P470">
        <v>-0.17476625740528107</v>
      </c>
      <c r="Q470">
        <v>0.4181329607963562</v>
      </c>
      <c r="R470">
        <v>0</v>
      </c>
      <c r="S470">
        <v>0</v>
      </c>
      <c r="T470">
        <f t="shared" si="17"/>
        <v>0.21569736955735613</v>
      </c>
    </row>
    <row r="471" spans="1:20" x14ac:dyDescent="0.3">
      <c r="A471" s="1" t="s">
        <v>5</v>
      </c>
      <c r="B471" s="1">
        <v>19</v>
      </c>
      <c r="C471" s="1">
        <v>2019</v>
      </c>
      <c r="D471" s="1">
        <v>1.04248024307831</v>
      </c>
      <c r="E471">
        <v>10.365833333333301</v>
      </c>
      <c r="F471">
        <v>5</v>
      </c>
      <c r="G471">
        <v>6.6883333333333299</v>
      </c>
      <c r="H471">
        <v>-0.47349852323532099</v>
      </c>
      <c r="I471">
        <v>0.13870000839233401</v>
      </c>
      <c r="J471">
        <v>-0.50214302539825395</v>
      </c>
      <c r="K471">
        <v>2.89513897150755E-2</v>
      </c>
      <c r="L471">
        <v>-0.34765389561653098</v>
      </c>
      <c r="M471">
        <v>0.13138623535633101</v>
      </c>
      <c r="N471">
        <v>0.42677152156829834</v>
      </c>
      <c r="O471">
        <v>0.54345917701721191</v>
      </c>
      <c r="P471">
        <v>-0.17476625740528107</v>
      </c>
      <c r="Q471">
        <v>0.4181329607963562</v>
      </c>
      <c r="R471">
        <v>0</v>
      </c>
      <c r="S471">
        <v>0</v>
      </c>
      <c r="T471">
        <f t="shared" si="17"/>
        <v>-3.1195652686215148E-2</v>
      </c>
    </row>
    <row r="472" spans="1:20" x14ac:dyDescent="0.3">
      <c r="A472" s="1" t="s">
        <v>5</v>
      </c>
      <c r="B472" s="1">
        <v>19</v>
      </c>
      <c r="C472" s="1">
        <v>2020</v>
      </c>
      <c r="D472" s="1">
        <v>0.91127727787002</v>
      </c>
      <c r="E472">
        <v>9.5441666666666602</v>
      </c>
      <c r="F472">
        <v>3.75</v>
      </c>
      <c r="G472">
        <v>5.5041666666666602</v>
      </c>
      <c r="H472">
        <v>-0.454962939023972</v>
      </c>
      <c r="I472">
        <v>0.31706503033638</v>
      </c>
      <c r="J472">
        <v>-0.46231138706207298</v>
      </c>
      <c r="K472">
        <v>0.216156706213951</v>
      </c>
      <c r="L472">
        <v>-0.36560273170471203</v>
      </c>
      <c r="M472">
        <v>9.9300831556320204E-2</v>
      </c>
      <c r="N472">
        <v>0.15629515051841736</v>
      </c>
      <c r="O472">
        <v>0.54345917701721191</v>
      </c>
      <c r="P472">
        <v>-0.17476625740528107</v>
      </c>
      <c r="Q472">
        <v>0.4181329607963562</v>
      </c>
      <c r="R472">
        <v>0</v>
      </c>
      <c r="S472">
        <v>0</v>
      </c>
      <c r="T472">
        <f t="shared" si="17"/>
        <v>-0.12585654843766106</v>
      </c>
    </row>
    <row r="473" spans="1:20" x14ac:dyDescent="0.3">
      <c r="A473" s="1" t="s">
        <v>5</v>
      </c>
      <c r="B473" s="1">
        <v>19</v>
      </c>
      <c r="C473" s="1">
        <v>2021</v>
      </c>
      <c r="D473" s="1">
        <v>0.79244418815012896</v>
      </c>
      <c r="E473">
        <v>8.9224999999999994</v>
      </c>
      <c r="F473">
        <v>3.5</v>
      </c>
      <c r="G473">
        <v>3.6658333333333299</v>
      </c>
      <c r="H473">
        <v>-0.44984787702560403</v>
      </c>
      <c r="I473">
        <v>0.34644344449043302</v>
      </c>
      <c r="J473">
        <v>-0.53144919872283902</v>
      </c>
      <c r="K473">
        <v>0.28756102919578602</v>
      </c>
      <c r="L473">
        <v>-0.253444284200668</v>
      </c>
      <c r="M473">
        <v>0.14933270215988201</v>
      </c>
      <c r="N473">
        <v>0.37598058581352234</v>
      </c>
      <c r="O473">
        <v>0.54345917701721191</v>
      </c>
      <c r="P473">
        <v>-0.17476625740528107</v>
      </c>
      <c r="Q473">
        <v>0.4181329607963562</v>
      </c>
      <c r="R473">
        <v>0</v>
      </c>
      <c r="S473">
        <v>0</v>
      </c>
      <c r="T473">
        <f t="shared" si="17"/>
        <v>-0.13040277927004429</v>
      </c>
    </row>
    <row r="474" spans="1:20" x14ac:dyDescent="0.3">
      <c r="A474" s="1" t="s">
        <v>5</v>
      </c>
      <c r="B474" s="1">
        <v>19</v>
      </c>
      <c r="C474" s="1">
        <v>2022</v>
      </c>
      <c r="D474" s="1">
        <v>0.99228904198387002</v>
      </c>
      <c r="E474">
        <v>8.5199999999999907</v>
      </c>
      <c r="F474">
        <v>5.5</v>
      </c>
      <c r="G474">
        <v>3.21</v>
      </c>
      <c r="H474">
        <v>-0.43533557653427102</v>
      </c>
      <c r="I474">
        <v>0.436147511005402</v>
      </c>
      <c r="J474">
        <v>-0.55389422178268399</v>
      </c>
      <c r="K474">
        <v>0.20595996081829099</v>
      </c>
      <c r="L474">
        <v>-0.18813031911850001</v>
      </c>
      <c r="M474">
        <v>0.14396958053111999</v>
      </c>
      <c r="N474">
        <v>0.38958693146705625</v>
      </c>
      <c r="O474">
        <v>0.54345917701721191</v>
      </c>
      <c r="P474">
        <v>-0.17476625740528107</v>
      </c>
      <c r="Q474">
        <v>0.4181329607963562</v>
      </c>
      <c r="R474">
        <v>0</v>
      </c>
      <c r="S474">
        <v>0</v>
      </c>
      <c r="T474">
        <f t="shared" si="17"/>
        <v>0.25218792291259806</v>
      </c>
    </row>
    <row r="475" spans="1:20" x14ac:dyDescent="0.3">
      <c r="A475" s="1" t="s">
        <v>5</v>
      </c>
      <c r="B475" s="1">
        <v>19</v>
      </c>
      <c r="C475" s="1">
        <v>2023</v>
      </c>
      <c r="D475" s="1">
        <v>1.0550728632311499</v>
      </c>
      <c r="E475">
        <v>8.9266666666666605</v>
      </c>
      <c r="F475">
        <v>6</v>
      </c>
      <c r="G475">
        <v>4.6341666666666601</v>
      </c>
      <c r="H475">
        <v>-0.48687219619750999</v>
      </c>
      <c r="I475">
        <v>0.58032637834548995</v>
      </c>
      <c r="J475">
        <v>-0.40437531471252403</v>
      </c>
      <c r="K475">
        <v>0.30137875676155101</v>
      </c>
      <c r="L475">
        <v>-0.15360446274280501</v>
      </c>
      <c r="M475">
        <v>0.13898281753063199</v>
      </c>
      <c r="N475">
        <v>0.32943293571472171</v>
      </c>
      <c r="O475">
        <v>0.54345917701721191</v>
      </c>
      <c r="P475">
        <v>-0.17476625740528107</v>
      </c>
      <c r="Q475">
        <v>0.4181329607963562</v>
      </c>
      <c r="R475">
        <v>0</v>
      </c>
      <c r="S475">
        <v>0</v>
      </c>
      <c r="T475">
        <f t="shared" si="17"/>
        <v>6.3271706721417617E-2</v>
      </c>
    </row>
    <row r="476" spans="1:20" x14ac:dyDescent="0.3">
      <c r="A476" s="1" t="s">
        <v>5</v>
      </c>
      <c r="B476" s="1">
        <v>19</v>
      </c>
      <c r="C476" s="1">
        <v>2024</v>
      </c>
      <c r="D476" s="1">
        <v>1.1486332338745899</v>
      </c>
      <c r="E476">
        <v>8.7956878492715802</v>
      </c>
      <c r="F476">
        <v>6</v>
      </c>
      <c r="G476">
        <v>5.42627869005441</v>
      </c>
      <c r="H476">
        <v>-0.46010342240333557</v>
      </c>
      <c r="I476">
        <v>0.36373647451400781</v>
      </c>
      <c r="J476">
        <v>-0.4908346295356748</v>
      </c>
      <c r="K476">
        <v>0.20800156854093094</v>
      </c>
      <c r="L476">
        <v>-0.26168713867664323</v>
      </c>
      <c r="M476">
        <v>0.13259443342685703</v>
      </c>
      <c r="N476">
        <v>0.33561342501640323</v>
      </c>
      <c r="O476">
        <v>0.54345917701721191</v>
      </c>
      <c r="P476">
        <v>-0.17476625740528107</v>
      </c>
      <c r="Q476">
        <v>0.4181329607963562</v>
      </c>
      <c r="R476">
        <v>0</v>
      </c>
      <c r="S476">
        <v>0</v>
      </c>
      <c r="T476">
        <f t="shared" si="17"/>
        <v>8.8676691348986411E-2</v>
      </c>
    </row>
    <row r="477" spans="1:20" x14ac:dyDescent="0.3">
      <c r="A477" s="1" t="s">
        <v>4</v>
      </c>
      <c r="B477" s="1">
        <v>20</v>
      </c>
      <c r="C477" s="1">
        <v>2000</v>
      </c>
      <c r="D477" s="1">
        <v>1.5566642799602E-2</v>
      </c>
      <c r="E477">
        <v>2.0671666666666599</v>
      </c>
      <c r="F477" s="2">
        <v>0.25</v>
      </c>
      <c r="G477">
        <v>7.04166666666666E-2</v>
      </c>
      <c r="H477">
        <v>1.22991895675659</v>
      </c>
      <c r="I477">
        <v>1.14183568954468</v>
      </c>
      <c r="J477">
        <v>1.1975526809692401</v>
      </c>
      <c r="K477">
        <v>0.79735416173934903</v>
      </c>
      <c r="L477">
        <v>1.2897591590881301</v>
      </c>
      <c r="M477">
        <v>0.95808798074722301</v>
      </c>
      <c r="N477">
        <v>0.27539011836051941</v>
      </c>
      <c r="O477">
        <v>0.36462518572807312</v>
      </c>
      <c r="P477">
        <v>2.2808303833007813</v>
      </c>
      <c r="Q477">
        <v>1</v>
      </c>
      <c r="R477">
        <v>0</v>
      </c>
      <c r="S477">
        <v>0</v>
      </c>
    </row>
    <row r="478" spans="1:20" x14ac:dyDescent="0.3">
      <c r="A478" s="1" t="s">
        <v>4</v>
      </c>
      <c r="B478" s="1">
        <v>20</v>
      </c>
      <c r="C478" s="1">
        <v>2001</v>
      </c>
      <c r="D478" s="1">
        <v>2.8562943558175499E-2</v>
      </c>
      <c r="E478">
        <v>1.9694166666666599</v>
      </c>
      <c r="F478" s="2">
        <v>0</v>
      </c>
      <c r="G478">
        <v>5.7083333333333298E-2</v>
      </c>
      <c r="H478">
        <v>1.0834293961524954</v>
      </c>
      <c r="I478">
        <v>1.07934182882309</v>
      </c>
      <c r="J478">
        <v>1.186787605285645</v>
      </c>
      <c r="K478">
        <v>0.64634715020656552</v>
      </c>
      <c r="L478">
        <v>1.21915543079376</v>
      </c>
      <c r="M478">
        <v>0.98627945780754156</v>
      </c>
      <c r="N478">
        <v>0.2256830632686615</v>
      </c>
      <c r="O478">
        <v>0.17770494520664215</v>
      </c>
      <c r="P478">
        <v>2.2808303833007813</v>
      </c>
      <c r="Q478">
        <v>1</v>
      </c>
      <c r="R478">
        <v>0</v>
      </c>
      <c r="S478">
        <v>0</v>
      </c>
      <c r="T478">
        <f>((D478-D477)/D477)</f>
        <v>0.83488141443740094</v>
      </c>
    </row>
    <row r="479" spans="1:20" x14ac:dyDescent="0.3">
      <c r="A479" s="1" t="s">
        <v>4</v>
      </c>
      <c r="B479" s="1">
        <v>20</v>
      </c>
      <c r="C479" s="1">
        <v>2002</v>
      </c>
      <c r="D479" s="1">
        <v>2.6940198623711002E-2</v>
      </c>
      <c r="E479">
        <v>1.8649166666666599</v>
      </c>
      <c r="F479" s="2">
        <v>0</v>
      </c>
      <c r="G479">
        <v>3.55833333333333E-2</v>
      </c>
      <c r="H479">
        <v>0.93693983554840099</v>
      </c>
      <c r="I479">
        <v>1.0168479681014999</v>
      </c>
      <c r="J479">
        <v>1.1760225296020499</v>
      </c>
      <c r="K479">
        <v>0.49534013867378202</v>
      </c>
      <c r="L479">
        <v>1.1485517024993901</v>
      </c>
      <c r="M479">
        <v>1.01447093486786</v>
      </c>
      <c r="N479">
        <v>0.31768926978111267</v>
      </c>
      <c r="O479">
        <v>0.24649327993392944</v>
      </c>
      <c r="P479">
        <v>2.2808303833007813</v>
      </c>
      <c r="Q479">
        <v>1</v>
      </c>
      <c r="R479">
        <v>0</v>
      </c>
      <c r="S479">
        <v>0</v>
      </c>
      <c r="T479">
        <f t="shared" ref="T479:T501" si="18">((D479-D478)/D478)</f>
        <v>-5.6812944756879709E-2</v>
      </c>
    </row>
    <row r="480" spans="1:20" x14ac:dyDescent="0.3">
      <c r="A480" s="1" t="s">
        <v>4</v>
      </c>
      <c r="B480" s="1">
        <v>20</v>
      </c>
      <c r="C480" s="1">
        <v>2003</v>
      </c>
      <c r="D480" s="1">
        <v>1.7947340566715399E-2</v>
      </c>
      <c r="E480">
        <v>1.8220833333333299</v>
      </c>
      <c r="F480" s="2">
        <v>0</v>
      </c>
      <c r="G480">
        <v>4.2500000000000003E-2</v>
      </c>
      <c r="H480">
        <v>1.1698737144470199</v>
      </c>
      <c r="I480">
        <v>1.1574610471725499</v>
      </c>
      <c r="J480">
        <v>1.0271201133728001</v>
      </c>
      <c r="K480">
        <v>1.0699657201767001</v>
      </c>
      <c r="L480">
        <v>1.16399013996124</v>
      </c>
      <c r="M480">
        <v>1.08260369300842</v>
      </c>
      <c r="N480">
        <v>0.34053501486778259</v>
      </c>
      <c r="O480">
        <v>0.27933850884437561</v>
      </c>
      <c r="P480">
        <v>2.2808303833007813</v>
      </c>
      <c r="Q480">
        <v>1</v>
      </c>
      <c r="R480">
        <v>0</v>
      </c>
      <c r="S480">
        <v>0</v>
      </c>
      <c r="T480">
        <f t="shared" si="18"/>
        <v>-0.33380815719304596</v>
      </c>
    </row>
    <row r="481" spans="1:20" x14ac:dyDescent="0.3">
      <c r="A481" s="1" t="s">
        <v>4</v>
      </c>
      <c r="B481" s="1">
        <v>20</v>
      </c>
      <c r="C481" s="1">
        <v>2004</v>
      </c>
      <c r="D481" s="1">
        <v>1.5809449646721801E-2</v>
      </c>
      <c r="E481">
        <v>1.7665833333333301</v>
      </c>
      <c r="F481" s="2">
        <v>0</v>
      </c>
      <c r="G481">
        <v>8.0250000000000002E-2</v>
      </c>
      <c r="H481">
        <v>1.2000110149383501</v>
      </c>
      <c r="I481">
        <v>1.34332299232483</v>
      </c>
      <c r="J481">
        <v>1.02831530570984</v>
      </c>
      <c r="K481">
        <v>1.1344233751296999</v>
      </c>
      <c r="L481">
        <v>1.24947249889374</v>
      </c>
      <c r="M481">
        <v>1.0434945821762101</v>
      </c>
      <c r="N481">
        <v>0.24158398807048798</v>
      </c>
      <c r="O481">
        <v>0.42829197645187378</v>
      </c>
      <c r="P481">
        <v>2.2808303833007813</v>
      </c>
      <c r="Q481">
        <v>1</v>
      </c>
      <c r="R481">
        <v>0</v>
      </c>
      <c r="S481">
        <v>0</v>
      </c>
      <c r="T481">
        <f t="shared" si="18"/>
        <v>-0.11912020680983049</v>
      </c>
    </row>
    <row r="482" spans="1:20" x14ac:dyDescent="0.3">
      <c r="A482" s="1" t="s">
        <v>4</v>
      </c>
      <c r="B482" s="1">
        <v>20</v>
      </c>
      <c r="C482" s="1">
        <v>2005</v>
      </c>
      <c r="D482" s="1">
        <v>1.8730982412551299E-2</v>
      </c>
      <c r="E482">
        <v>1.6769166666666599</v>
      </c>
      <c r="F482" s="2">
        <v>0</v>
      </c>
      <c r="G482">
        <v>0.27108333333333301</v>
      </c>
      <c r="H482">
        <v>1.2101241350173999</v>
      </c>
      <c r="I482">
        <v>1.2854862213134799</v>
      </c>
      <c r="J482">
        <v>1.0357694625854501</v>
      </c>
      <c r="K482">
        <v>1.2587310075759901</v>
      </c>
      <c r="L482">
        <v>1.2243965864181501</v>
      </c>
      <c r="M482">
        <v>1.0062769651412999</v>
      </c>
      <c r="N482">
        <v>0.38389137387275696</v>
      </c>
      <c r="O482">
        <v>0.30981972813606262</v>
      </c>
      <c r="P482">
        <v>2.2808303833007813</v>
      </c>
      <c r="Q482">
        <v>1</v>
      </c>
      <c r="R482">
        <v>0</v>
      </c>
      <c r="S482">
        <v>0</v>
      </c>
      <c r="T482">
        <f t="shared" si="18"/>
        <v>0.18479661412092849</v>
      </c>
    </row>
    <row r="483" spans="1:20" x14ac:dyDescent="0.3">
      <c r="A483" s="1" t="s">
        <v>4</v>
      </c>
      <c r="B483" s="1">
        <v>20</v>
      </c>
      <c r="C483" s="1">
        <v>2006</v>
      </c>
      <c r="D483" s="1">
        <v>2.5577458599519699E-2</v>
      </c>
      <c r="E483">
        <v>1.6648333333333301</v>
      </c>
      <c r="F483" s="2">
        <v>0.25</v>
      </c>
      <c r="G483">
        <v>0.68274999999999997</v>
      </c>
      <c r="H483">
        <v>1.3208487033844001</v>
      </c>
      <c r="I483">
        <v>1.5849609375</v>
      </c>
      <c r="J483">
        <v>1.13833451271057</v>
      </c>
      <c r="K483">
        <v>1.26020288467407</v>
      </c>
      <c r="L483">
        <v>1.3515256643295299</v>
      </c>
      <c r="M483">
        <v>0.95412331819534302</v>
      </c>
      <c r="N483">
        <v>0.37940356135368347</v>
      </c>
      <c r="O483">
        <v>0.44842803478240967</v>
      </c>
      <c r="P483">
        <v>2.2808303833007813</v>
      </c>
      <c r="Q483">
        <v>1</v>
      </c>
      <c r="R483">
        <v>0</v>
      </c>
      <c r="S483">
        <v>0</v>
      </c>
      <c r="T483">
        <f t="shared" si="18"/>
        <v>0.36551612916900172</v>
      </c>
    </row>
    <row r="484" spans="1:20" x14ac:dyDescent="0.3">
      <c r="A484" s="1" t="s">
        <v>4</v>
      </c>
      <c r="B484" s="1">
        <v>20</v>
      </c>
      <c r="C484" s="1">
        <v>2007</v>
      </c>
      <c r="D484" s="1">
        <v>3.0218469705670901E-2</v>
      </c>
      <c r="E484">
        <v>1.8832500000000001</v>
      </c>
      <c r="F484">
        <v>0.5</v>
      </c>
      <c r="G484">
        <v>0.80816666666666603</v>
      </c>
      <c r="H484">
        <v>1.2302278280258201</v>
      </c>
      <c r="I484">
        <v>1.4412595033645601</v>
      </c>
      <c r="J484">
        <v>1.0103745460510301</v>
      </c>
      <c r="K484">
        <v>1.12917721271515</v>
      </c>
      <c r="L484">
        <v>1.31983089447021</v>
      </c>
      <c r="M484">
        <v>0.96994626522064198</v>
      </c>
      <c r="N484">
        <v>0.29302480816841125</v>
      </c>
      <c r="O484">
        <v>0.27448675036430359</v>
      </c>
      <c r="P484">
        <v>2.2808303833007813</v>
      </c>
      <c r="Q484">
        <v>1</v>
      </c>
      <c r="R484">
        <v>0</v>
      </c>
      <c r="S484">
        <v>0</v>
      </c>
      <c r="T484">
        <f t="shared" si="18"/>
        <v>0.18144926666945532</v>
      </c>
    </row>
    <row r="485" spans="1:20" x14ac:dyDescent="0.3">
      <c r="A485" s="1" t="s">
        <v>4</v>
      </c>
      <c r="B485" s="1">
        <v>20</v>
      </c>
      <c r="C485" s="1">
        <v>2008</v>
      </c>
      <c r="D485" s="1">
        <v>3.39237865439651E-2</v>
      </c>
      <c r="E485">
        <v>1.9095</v>
      </c>
      <c r="F485">
        <v>0.1</v>
      </c>
      <c r="G485">
        <v>0.58875</v>
      </c>
      <c r="H485">
        <v>1.3238885402679399</v>
      </c>
      <c r="I485">
        <v>1.45174884796143</v>
      </c>
      <c r="J485">
        <v>0.89462524652481101</v>
      </c>
      <c r="K485">
        <v>1.13206923007965</v>
      </c>
      <c r="L485">
        <v>1.3086692094802901</v>
      </c>
      <c r="M485">
        <v>0.94885921478271495</v>
      </c>
      <c r="N485">
        <v>0.22047810256481171</v>
      </c>
      <c r="O485">
        <v>0.40445080399513245</v>
      </c>
      <c r="P485">
        <v>2.2808303833007813</v>
      </c>
      <c r="Q485">
        <v>1</v>
      </c>
      <c r="R485">
        <v>0</v>
      </c>
      <c r="S485">
        <v>0</v>
      </c>
      <c r="T485">
        <f t="shared" si="18"/>
        <v>0.12261762009738189</v>
      </c>
    </row>
    <row r="486" spans="1:20" x14ac:dyDescent="0.3">
      <c r="A486" s="1" t="s">
        <v>4</v>
      </c>
      <c r="B486" s="1">
        <v>20</v>
      </c>
      <c r="C486" s="1">
        <v>2009</v>
      </c>
      <c r="D486" s="1">
        <v>3.0145273696029599E-2</v>
      </c>
      <c r="E486">
        <v>1.7233333333333301</v>
      </c>
      <c r="F486">
        <v>0.1</v>
      </c>
      <c r="G486">
        <v>0.43491666666666601</v>
      </c>
      <c r="H486">
        <v>1.36922454833984</v>
      </c>
      <c r="I486">
        <v>1.4501043558120701</v>
      </c>
      <c r="J486">
        <v>0.976251900196075</v>
      </c>
      <c r="K486">
        <v>1.09656965732574</v>
      </c>
      <c r="L486">
        <v>1.2870830297470099</v>
      </c>
      <c r="M486">
        <v>1.0210536718368499</v>
      </c>
      <c r="N486">
        <v>0.20775230228900909</v>
      </c>
      <c r="O486">
        <v>0.47105056047439575</v>
      </c>
      <c r="P486">
        <v>2.2808303833007813</v>
      </c>
      <c r="Q486">
        <v>1</v>
      </c>
      <c r="R486">
        <v>0</v>
      </c>
      <c r="S486">
        <v>0</v>
      </c>
      <c r="T486">
        <f t="shared" si="18"/>
        <v>-0.11138240252274204</v>
      </c>
    </row>
    <row r="487" spans="1:20" x14ac:dyDescent="0.3">
      <c r="A487" s="1" t="s">
        <v>4</v>
      </c>
      <c r="B487" s="1">
        <v>20</v>
      </c>
      <c r="C487" s="1">
        <v>2010</v>
      </c>
      <c r="D487" s="1">
        <v>2.9248966202451699E-2</v>
      </c>
      <c r="E487">
        <v>1.5983333333333301</v>
      </c>
      <c r="F487">
        <v>0.05</v>
      </c>
      <c r="G487">
        <v>0.50008333333333299</v>
      </c>
      <c r="H487">
        <v>1.55362319946289</v>
      </c>
      <c r="I487">
        <v>1.52235090732574</v>
      </c>
      <c r="J487">
        <v>0.87935316562652599</v>
      </c>
      <c r="K487">
        <v>1.0166825056076001</v>
      </c>
      <c r="L487">
        <v>1.31965863704681</v>
      </c>
      <c r="M487">
        <v>1.04070508480072</v>
      </c>
      <c r="N487">
        <v>0.262645423412323</v>
      </c>
      <c r="O487">
        <v>0.59724891185760498</v>
      </c>
      <c r="P487">
        <v>2.2808303833007813</v>
      </c>
      <c r="Q487">
        <v>1</v>
      </c>
      <c r="R487">
        <v>0</v>
      </c>
      <c r="S487">
        <v>0</v>
      </c>
      <c r="T487">
        <f t="shared" si="18"/>
        <v>-2.9732936002367476E-2</v>
      </c>
    </row>
    <row r="488" spans="1:20" x14ac:dyDescent="0.3">
      <c r="A488" s="1" t="s">
        <v>4</v>
      </c>
      <c r="B488" s="1">
        <v>20</v>
      </c>
      <c r="C488" s="1">
        <v>2011</v>
      </c>
      <c r="D488" s="1">
        <v>3.4199885971702003E-2</v>
      </c>
      <c r="E488">
        <v>1.50091666666666</v>
      </c>
      <c r="F488">
        <v>0.05</v>
      </c>
      <c r="G488">
        <v>0.46158333333333301</v>
      </c>
      <c r="H488">
        <v>1.5543754100799601</v>
      </c>
      <c r="I488">
        <v>1.46691274642944</v>
      </c>
      <c r="J488">
        <v>0.99509197473526001</v>
      </c>
      <c r="K488">
        <v>1.0742613077163701</v>
      </c>
      <c r="L488">
        <v>1.30369925498962</v>
      </c>
      <c r="M488">
        <v>1.07113337516785</v>
      </c>
      <c r="N488">
        <v>0.35404151678085327</v>
      </c>
      <c r="O488">
        <v>0.60483008623123169</v>
      </c>
      <c r="P488">
        <v>2.2808303833007813</v>
      </c>
      <c r="Q488">
        <v>1</v>
      </c>
      <c r="R488">
        <v>0</v>
      </c>
      <c r="S488">
        <v>0</v>
      </c>
      <c r="T488">
        <f t="shared" si="18"/>
        <v>0.1692681968648625</v>
      </c>
    </row>
    <row r="489" spans="1:20" x14ac:dyDescent="0.3">
      <c r="A489" s="1" t="s">
        <v>4</v>
      </c>
      <c r="B489" s="1">
        <v>20</v>
      </c>
      <c r="C489" s="1">
        <v>2012</v>
      </c>
      <c r="D489" s="1">
        <v>4.0488372024867297E-2</v>
      </c>
      <c r="E489">
        <v>1.4075</v>
      </c>
      <c r="F489">
        <v>0.05</v>
      </c>
      <c r="G489">
        <v>0.47799999999999998</v>
      </c>
      <c r="H489">
        <v>1.6189486980438199</v>
      </c>
      <c r="I489">
        <v>1.4079896211624101</v>
      </c>
      <c r="J489">
        <v>0.94844287633895896</v>
      </c>
      <c r="K489">
        <v>1.1375806331634499</v>
      </c>
      <c r="L489">
        <v>1.3513658046722401</v>
      </c>
      <c r="M489">
        <v>1.10129523277283</v>
      </c>
      <c r="N489">
        <v>0.26648762822151184</v>
      </c>
      <c r="O489">
        <v>0.38278260827064514</v>
      </c>
      <c r="P489">
        <v>2.2808303833007813</v>
      </c>
      <c r="Q489">
        <v>1</v>
      </c>
      <c r="R489">
        <v>0</v>
      </c>
      <c r="S489">
        <v>0</v>
      </c>
      <c r="T489">
        <f t="shared" si="18"/>
        <v>0.18387447427072048</v>
      </c>
    </row>
    <row r="490" spans="1:20" x14ac:dyDescent="0.3">
      <c r="A490" s="1" t="s">
        <v>4</v>
      </c>
      <c r="B490" s="1">
        <v>20</v>
      </c>
      <c r="C490" s="1">
        <v>2013</v>
      </c>
      <c r="D490" s="1">
        <v>4.5351200388686203E-2</v>
      </c>
      <c r="E490">
        <v>1.30375</v>
      </c>
      <c r="F490" s="2">
        <v>0.05</v>
      </c>
      <c r="G490">
        <v>0.54216666666666602</v>
      </c>
      <c r="H490">
        <v>1.6482492685318</v>
      </c>
      <c r="I490">
        <v>1.6105093955993699</v>
      </c>
      <c r="J490">
        <v>1.01914191246033</v>
      </c>
      <c r="K490">
        <v>1.1089547872543299</v>
      </c>
      <c r="L490">
        <v>1.43588483333588</v>
      </c>
      <c r="M490">
        <v>1.1095880270004299</v>
      </c>
      <c r="N490">
        <v>0.2976481020450592</v>
      </c>
      <c r="O490">
        <v>0.46466505527496338</v>
      </c>
      <c r="P490">
        <v>2.2808303833007813</v>
      </c>
      <c r="Q490">
        <v>1</v>
      </c>
      <c r="R490">
        <v>0</v>
      </c>
      <c r="S490">
        <v>0</v>
      </c>
      <c r="T490">
        <f t="shared" si="18"/>
        <v>0.12010431935451085</v>
      </c>
    </row>
    <row r="491" spans="1:20" x14ac:dyDescent="0.3">
      <c r="A491" s="1" t="s">
        <v>4</v>
      </c>
      <c r="B491" s="1">
        <v>20</v>
      </c>
      <c r="C491" s="1">
        <v>2014</v>
      </c>
      <c r="D491" s="1">
        <v>7.6249066931655604E-2</v>
      </c>
      <c r="E491">
        <v>1.2191666666666601</v>
      </c>
      <c r="F491" s="2">
        <v>0.05</v>
      </c>
      <c r="G491">
        <v>0.41525000000000001</v>
      </c>
      <c r="H491">
        <v>1.69021356105804</v>
      </c>
      <c r="I491">
        <v>1.8054130077362101</v>
      </c>
      <c r="J491">
        <v>0.96859735250473</v>
      </c>
      <c r="K491">
        <v>1.13797330856323</v>
      </c>
      <c r="L491">
        <v>1.59787368774414</v>
      </c>
      <c r="M491">
        <v>1.0360524654388401</v>
      </c>
      <c r="N491">
        <v>0.27786338329315186</v>
      </c>
      <c r="O491">
        <v>0.43947261571884155</v>
      </c>
      <c r="P491">
        <v>2.2808303833007813</v>
      </c>
      <c r="Q491">
        <v>1</v>
      </c>
      <c r="R491">
        <v>0</v>
      </c>
      <c r="S491">
        <v>0</v>
      </c>
      <c r="T491">
        <f t="shared" si="18"/>
        <v>0.68130206649783664</v>
      </c>
    </row>
    <row r="492" spans="1:20" x14ac:dyDescent="0.3">
      <c r="A492" s="1" t="s">
        <v>4</v>
      </c>
      <c r="B492" s="1">
        <v>20</v>
      </c>
      <c r="C492" s="1">
        <v>2015</v>
      </c>
      <c r="D492" s="1">
        <v>7.48065192301101E-2</v>
      </c>
      <c r="E492">
        <v>1.14283333333333</v>
      </c>
      <c r="F492" s="2">
        <v>0.05</v>
      </c>
      <c r="G492">
        <v>0.40625</v>
      </c>
      <c r="H492">
        <v>1.5297664403915401</v>
      </c>
      <c r="I492">
        <v>1.7531654834747299</v>
      </c>
      <c r="J492">
        <v>1.05422055721283</v>
      </c>
      <c r="K492">
        <v>1.20364701747894</v>
      </c>
      <c r="L492">
        <v>1.48507380485535</v>
      </c>
      <c r="M492">
        <v>0.98804891109466597</v>
      </c>
      <c r="N492">
        <v>0.34018605947494507</v>
      </c>
      <c r="O492">
        <v>0.61806291341781616</v>
      </c>
      <c r="P492">
        <v>2.2808303833007813</v>
      </c>
      <c r="Q492">
        <v>1</v>
      </c>
      <c r="R492">
        <v>0</v>
      </c>
      <c r="S492">
        <v>0</v>
      </c>
      <c r="T492">
        <f t="shared" si="18"/>
        <v>-1.8918889890659315E-2</v>
      </c>
    </row>
    <row r="493" spans="1:20" x14ac:dyDescent="0.3">
      <c r="A493" s="1" t="s">
        <v>4</v>
      </c>
      <c r="B493" s="1">
        <v>20</v>
      </c>
      <c r="C493" s="1">
        <v>2016</v>
      </c>
      <c r="D493" s="1">
        <v>7.6552664009787899E-2</v>
      </c>
      <c r="E493">
        <v>1.0447500000000001</v>
      </c>
      <c r="F493" s="2">
        <v>-0.1</v>
      </c>
      <c r="G493">
        <v>0.300416666666666</v>
      </c>
      <c r="H493">
        <v>1.4822438955307</v>
      </c>
      <c r="I493">
        <v>1.7848255634307899</v>
      </c>
      <c r="J493">
        <v>0.96818900108337402</v>
      </c>
      <c r="K493">
        <v>1.41657531261444</v>
      </c>
      <c r="L493">
        <v>1.3837323188781701</v>
      </c>
      <c r="M493">
        <v>0.98357117176055897</v>
      </c>
      <c r="N493">
        <v>0.19654208421707153</v>
      </c>
      <c r="O493">
        <v>0.66274738311767578</v>
      </c>
      <c r="P493">
        <v>2.2808303833007813</v>
      </c>
      <c r="Q493">
        <v>1</v>
      </c>
      <c r="R493">
        <v>0</v>
      </c>
      <c r="S493">
        <v>0</v>
      </c>
      <c r="T493">
        <f t="shared" si="18"/>
        <v>2.3342147150391207E-2</v>
      </c>
    </row>
    <row r="494" spans="1:20" x14ac:dyDescent="0.3">
      <c r="A494" s="1" t="s">
        <v>4</v>
      </c>
      <c r="B494" s="1">
        <v>20</v>
      </c>
      <c r="C494" s="1">
        <v>2017</v>
      </c>
      <c r="D494" s="1">
        <v>9.0106982703923102E-2</v>
      </c>
      <c r="E494">
        <v>0.99399999999999999</v>
      </c>
      <c r="F494">
        <v>-0.1</v>
      </c>
      <c r="G494">
        <v>0.32066666666666599</v>
      </c>
      <c r="H494">
        <v>1.4812270402908301</v>
      </c>
      <c r="I494">
        <v>1.57989025115967</v>
      </c>
      <c r="J494">
        <v>1.1001280546188399</v>
      </c>
      <c r="K494">
        <v>1.3636435270309399</v>
      </c>
      <c r="L494">
        <v>1.5294550657272299</v>
      </c>
      <c r="M494">
        <v>1.00365543365479</v>
      </c>
      <c r="N494">
        <v>0.45042729377746582</v>
      </c>
      <c r="O494">
        <v>0.81774592399597168</v>
      </c>
      <c r="P494">
        <v>2.2808303833007813</v>
      </c>
      <c r="Q494">
        <v>1</v>
      </c>
      <c r="R494">
        <v>0</v>
      </c>
      <c r="S494">
        <v>0</v>
      </c>
      <c r="T494">
        <f t="shared" si="18"/>
        <v>0.17705874602093757</v>
      </c>
    </row>
    <row r="495" spans="1:20" x14ac:dyDescent="0.3">
      <c r="A495" s="1" t="s">
        <v>4</v>
      </c>
      <c r="B495" s="1">
        <v>20</v>
      </c>
      <c r="C495" s="1">
        <v>2018</v>
      </c>
      <c r="D495" s="1">
        <v>8.66803594795751E-2</v>
      </c>
      <c r="E495" s="2">
        <v>0.78</v>
      </c>
      <c r="F495">
        <v>-0.1</v>
      </c>
      <c r="G495" s="2">
        <v>0.25</v>
      </c>
      <c r="H495">
        <v>1.38858759403229</v>
      </c>
      <c r="I495">
        <v>1.63458871841431</v>
      </c>
      <c r="J495">
        <v>1.0375627279281601</v>
      </c>
      <c r="K495">
        <v>1.33422780036926</v>
      </c>
      <c r="L495">
        <v>1.4938536882400499</v>
      </c>
      <c r="M495">
        <v>0.99471324682235696</v>
      </c>
      <c r="N495">
        <v>0.34937426447868347</v>
      </c>
      <c r="O495">
        <v>0.85975372791290283</v>
      </c>
      <c r="P495">
        <v>2.2808303833007813</v>
      </c>
      <c r="Q495">
        <v>1</v>
      </c>
      <c r="R495">
        <v>0</v>
      </c>
      <c r="S495">
        <v>0</v>
      </c>
      <c r="T495">
        <f t="shared" si="18"/>
        <v>-3.8028387162927529E-2</v>
      </c>
    </row>
    <row r="496" spans="1:20" x14ac:dyDescent="0.3">
      <c r="A496" s="1" t="s">
        <v>4</v>
      </c>
      <c r="B496" s="1">
        <v>20</v>
      </c>
      <c r="C496" s="1">
        <v>2019</v>
      </c>
      <c r="D496" s="1">
        <v>8.5750850660671604E-2</v>
      </c>
      <c r="E496" s="2">
        <v>0.75</v>
      </c>
      <c r="F496">
        <v>-0.1</v>
      </c>
      <c r="G496" s="2">
        <v>0.2</v>
      </c>
      <c r="H496">
        <v>1.4309983253478999</v>
      </c>
      <c r="I496">
        <v>1.55003654956818</v>
      </c>
      <c r="J496">
        <v>1.0198123455047601</v>
      </c>
      <c r="K496">
        <v>1.3146489858627299</v>
      </c>
      <c r="L496">
        <v>1.4964345693588299</v>
      </c>
      <c r="M496">
        <v>0.92969208955764804</v>
      </c>
      <c r="N496">
        <v>0.42125549912452698</v>
      </c>
      <c r="O496">
        <v>0.66849464178085327</v>
      </c>
      <c r="P496">
        <v>2.2808303833007813</v>
      </c>
      <c r="Q496">
        <v>1</v>
      </c>
      <c r="R496">
        <v>0</v>
      </c>
      <c r="S496">
        <v>0</v>
      </c>
      <c r="T496">
        <f t="shared" si="18"/>
        <v>-1.0723407522583252E-2</v>
      </c>
    </row>
    <row r="497" spans="1:20" x14ac:dyDescent="0.3">
      <c r="A497" s="1" t="s">
        <v>4</v>
      </c>
      <c r="B497" s="1">
        <v>20</v>
      </c>
      <c r="C497" s="1">
        <v>2020</v>
      </c>
      <c r="D497" s="1">
        <v>9.6709910239756905E-2</v>
      </c>
      <c r="E497" s="2">
        <v>0.72</v>
      </c>
      <c r="F497">
        <v>-0.1</v>
      </c>
      <c r="G497" s="2">
        <v>0.18</v>
      </c>
      <c r="H497">
        <v>1.4637143611907999</v>
      </c>
      <c r="I497">
        <v>1.5473005771637001</v>
      </c>
      <c r="J497">
        <v>1.02614521980286</v>
      </c>
      <c r="K497">
        <v>1.3470870256423999</v>
      </c>
      <c r="L497">
        <v>1.47148048877716</v>
      </c>
      <c r="M497">
        <v>0.98290032148361195</v>
      </c>
      <c r="N497">
        <v>0.46733880043029785</v>
      </c>
      <c r="O497">
        <v>0.56669366359710693</v>
      </c>
      <c r="P497">
        <v>2.2808303833007813</v>
      </c>
      <c r="Q497">
        <v>1</v>
      </c>
      <c r="R497">
        <v>0</v>
      </c>
      <c r="S497">
        <v>0</v>
      </c>
      <c r="T497">
        <f t="shared" si="18"/>
        <v>0.12780117625248838</v>
      </c>
    </row>
    <row r="498" spans="1:20" x14ac:dyDescent="0.3">
      <c r="A498" s="1" t="s">
        <v>4</v>
      </c>
      <c r="B498" s="1">
        <v>20</v>
      </c>
      <c r="C498" s="1">
        <v>2021</v>
      </c>
      <c r="D498" s="1">
        <v>0.105055336492197</v>
      </c>
      <c r="E498" s="2">
        <v>0.68</v>
      </c>
      <c r="F498">
        <v>-0.1</v>
      </c>
      <c r="G498" s="2">
        <v>0.15</v>
      </c>
      <c r="H498">
        <v>1.53576052188873</v>
      </c>
      <c r="I498">
        <v>1.36116814613342</v>
      </c>
      <c r="J498">
        <v>1.0155017375946001</v>
      </c>
      <c r="K498">
        <v>1.36984014511108</v>
      </c>
      <c r="L498">
        <v>1.54032814502716</v>
      </c>
      <c r="M498">
        <v>1.06584024429321</v>
      </c>
      <c r="N498">
        <v>0.37698758840560914</v>
      </c>
      <c r="O498">
        <v>0.71508706808090206</v>
      </c>
      <c r="P498">
        <v>2.2808303833007813</v>
      </c>
      <c r="Q498">
        <v>1</v>
      </c>
      <c r="R498">
        <v>0</v>
      </c>
      <c r="S498">
        <v>0</v>
      </c>
      <c r="T498">
        <f t="shared" si="18"/>
        <v>8.6293392598035326E-2</v>
      </c>
    </row>
    <row r="499" spans="1:20" x14ac:dyDescent="0.3">
      <c r="A499" s="1" t="s">
        <v>4</v>
      </c>
      <c r="B499" s="1">
        <v>20</v>
      </c>
      <c r="C499" s="1">
        <v>2022</v>
      </c>
      <c r="D499" s="1">
        <v>0.12687493367317901</v>
      </c>
      <c r="E499" s="2">
        <v>0.7</v>
      </c>
      <c r="F499">
        <v>-0.1</v>
      </c>
      <c r="G499" s="2">
        <v>0.22</v>
      </c>
      <c r="H499">
        <v>1.5399296283721899</v>
      </c>
      <c r="I499">
        <v>1.6194154024124101</v>
      </c>
      <c r="J499">
        <v>1.0326372385025</v>
      </c>
      <c r="K499">
        <v>1.4387725591659499</v>
      </c>
      <c r="L499">
        <v>1.5579692125320399</v>
      </c>
      <c r="M499">
        <v>1.02100276947021</v>
      </c>
      <c r="N499">
        <v>0.4130766892433167</v>
      </c>
      <c r="O499">
        <v>0.72555500507354742</v>
      </c>
      <c r="P499">
        <v>2.2808303833007813</v>
      </c>
      <c r="Q499">
        <v>1</v>
      </c>
      <c r="R499">
        <v>0</v>
      </c>
      <c r="S499">
        <v>0</v>
      </c>
      <c r="T499">
        <f t="shared" si="18"/>
        <v>0.20769622857381126</v>
      </c>
    </row>
    <row r="500" spans="1:20" x14ac:dyDescent="0.3">
      <c r="A500" s="1" t="s">
        <v>4</v>
      </c>
      <c r="B500" s="1">
        <v>20</v>
      </c>
      <c r="C500" s="1">
        <v>2023</v>
      </c>
      <c r="D500" s="1">
        <v>0.111846653062437</v>
      </c>
      <c r="E500" s="2">
        <v>0.85</v>
      </c>
      <c r="F500">
        <v>-0.1</v>
      </c>
      <c r="G500" s="2">
        <v>0.25</v>
      </c>
      <c r="H500">
        <v>1.3956606388092001</v>
      </c>
      <c r="I500">
        <v>1.63126504421234</v>
      </c>
      <c r="J500">
        <v>0.95113623142242398</v>
      </c>
      <c r="K500">
        <v>1.46932590007782</v>
      </c>
      <c r="L500">
        <v>1.53553938865662</v>
      </c>
      <c r="M500">
        <v>1.1055053472518901</v>
      </c>
      <c r="N500">
        <v>0.40560656833648678</v>
      </c>
      <c r="O500">
        <v>0.7071168212890625</v>
      </c>
      <c r="P500">
        <v>2.2808303833007813</v>
      </c>
      <c r="Q500">
        <v>1</v>
      </c>
      <c r="R500">
        <v>0</v>
      </c>
      <c r="S500">
        <v>0</v>
      </c>
      <c r="T500">
        <f t="shared" si="18"/>
        <v>-0.1184495642729068</v>
      </c>
    </row>
    <row r="501" spans="1:20" x14ac:dyDescent="0.3">
      <c r="A501" s="1" t="s">
        <v>4</v>
      </c>
      <c r="B501" s="1">
        <v>20</v>
      </c>
      <c r="C501" s="1">
        <v>2024</v>
      </c>
      <c r="D501" s="1">
        <v>0.115309420280122</v>
      </c>
      <c r="E501" s="2">
        <v>1.1499999999999999</v>
      </c>
      <c r="F501">
        <v>0.25</v>
      </c>
      <c r="G501" s="2">
        <v>0.35</v>
      </c>
      <c r="H501">
        <v>1.4732126951217641</v>
      </c>
      <c r="I501">
        <v>1.5418371438980099</v>
      </c>
      <c r="J501">
        <v>1.0090465545654288</v>
      </c>
      <c r="K501">
        <v>1.3879349231719957</v>
      </c>
      <c r="L501">
        <v>1.5203503608703619</v>
      </c>
      <c r="M501">
        <v>1.020988154411314</v>
      </c>
      <c r="N501">
        <v>0.4168530291080475</v>
      </c>
      <c r="O501">
        <v>0.67658943996429444</v>
      </c>
      <c r="P501">
        <v>2.2808303833007813</v>
      </c>
      <c r="Q501">
        <v>1</v>
      </c>
      <c r="R501">
        <v>0</v>
      </c>
      <c r="S501">
        <v>0</v>
      </c>
      <c r="T501">
        <f t="shared" si="18"/>
        <v>3.0959953855319692E-2</v>
      </c>
    </row>
    <row r="502" spans="1:20" x14ac:dyDescent="0.3">
      <c r="A502" s="1" t="s">
        <v>3</v>
      </c>
      <c r="B502" s="1">
        <v>21</v>
      </c>
      <c r="C502" s="1">
        <v>2000</v>
      </c>
      <c r="D502" s="1">
        <v>0.75708738208723403</v>
      </c>
      <c r="E502">
        <v>8.5449999999999999</v>
      </c>
      <c r="F502">
        <v>5.25</v>
      </c>
      <c r="G502">
        <v>7.9383333333333299</v>
      </c>
      <c r="H502">
        <v>0.27044516801834101</v>
      </c>
      <c r="I502">
        <v>0.61354058980941795</v>
      </c>
      <c r="J502">
        <v>0.398045033216476</v>
      </c>
      <c r="K502">
        <v>0.56536757946014404</v>
      </c>
      <c r="L502">
        <v>0.83033972978591897</v>
      </c>
      <c r="M502">
        <v>0.63716918230056796</v>
      </c>
      <c r="N502">
        <v>0.29035091400146484</v>
      </c>
      <c r="O502">
        <v>0.30303385853767395</v>
      </c>
      <c r="P502">
        <v>-0.17476625740528107</v>
      </c>
      <c r="Q502">
        <v>0.4181329607963562</v>
      </c>
      <c r="R502">
        <v>0</v>
      </c>
      <c r="S502">
        <v>0</v>
      </c>
    </row>
    <row r="503" spans="1:20" x14ac:dyDescent="0.3">
      <c r="A503" s="1" t="s">
        <v>3</v>
      </c>
      <c r="B503" s="1">
        <v>21</v>
      </c>
      <c r="C503" s="1">
        <v>2001</v>
      </c>
      <c r="D503" s="1">
        <v>0.79571529988886602</v>
      </c>
      <c r="E503">
        <v>7.7083333333333304</v>
      </c>
      <c r="F503">
        <v>4</v>
      </c>
      <c r="G503">
        <v>5.7925000000000004</v>
      </c>
      <c r="H503">
        <v>0.37981721758842452</v>
      </c>
      <c r="I503">
        <v>0.70492291450500499</v>
      </c>
      <c r="J503">
        <v>0.31990931928157801</v>
      </c>
      <c r="K503">
        <v>0.65894496440887451</v>
      </c>
      <c r="L503">
        <v>0.8751748502254485</v>
      </c>
      <c r="M503">
        <v>0.69139862060546897</v>
      </c>
      <c r="N503">
        <v>0.28741657733917236</v>
      </c>
      <c r="O503">
        <v>0.26400768756866455</v>
      </c>
      <c r="P503">
        <v>-0.17476625740528107</v>
      </c>
      <c r="Q503">
        <v>0.4181329607963562</v>
      </c>
      <c r="R503">
        <v>0</v>
      </c>
      <c r="S503">
        <v>0</v>
      </c>
      <c r="T503">
        <f>((D503-D502)/D502)</f>
        <v>5.1021742952758867E-2</v>
      </c>
    </row>
    <row r="504" spans="1:20" x14ac:dyDescent="0.3">
      <c r="A504" s="1" t="s">
        <v>3</v>
      </c>
      <c r="B504" s="1">
        <v>21</v>
      </c>
      <c r="C504" s="1">
        <v>2002</v>
      </c>
      <c r="D504" s="1">
        <v>0.78995174066624096</v>
      </c>
      <c r="E504">
        <v>6.7691666666666599</v>
      </c>
      <c r="F504">
        <v>4.25</v>
      </c>
      <c r="G504">
        <v>4.9483333333333297</v>
      </c>
      <c r="H504">
        <v>0.48918926715850802</v>
      </c>
      <c r="I504">
        <v>0.79630523920059204</v>
      </c>
      <c r="J504">
        <v>0.24177360534667999</v>
      </c>
      <c r="K504">
        <v>0.75252234935760498</v>
      </c>
      <c r="L504">
        <v>0.92000997066497803</v>
      </c>
      <c r="M504">
        <v>0.74562805891036998</v>
      </c>
      <c r="N504">
        <v>0.33591005206108093</v>
      </c>
      <c r="O504">
        <v>0.23994834721088409</v>
      </c>
      <c r="P504">
        <v>-0.17476625740528107</v>
      </c>
      <c r="Q504">
        <v>0.4181329607963562</v>
      </c>
      <c r="R504">
        <v>0</v>
      </c>
      <c r="S504">
        <v>0</v>
      </c>
      <c r="T504">
        <f t="shared" ref="T504:T526" si="19">((D504-D503)/D503)</f>
        <v>-7.2432429330314867E-3</v>
      </c>
    </row>
    <row r="505" spans="1:20" x14ac:dyDescent="0.3">
      <c r="A505" s="1" t="s">
        <v>3</v>
      </c>
      <c r="B505" s="1">
        <v>21</v>
      </c>
      <c r="C505" s="1">
        <v>2003</v>
      </c>
      <c r="D505" s="1">
        <v>0.80646080670366205</v>
      </c>
      <c r="E505">
        <v>6.2366666666666601</v>
      </c>
      <c r="F505">
        <v>3.75</v>
      </c>
      <c r="G505">
        <v>4.2508333333333299</v>
      </c>
      <c r="H505">
        <v>0.54491174221038796</v>
      </c>
      <c r="I505">
        <v>0.79047667980194103</v>
      </c>
      <c r="J505">
        <v>0.24854309856891599</v>
      </c>
      <c r="K505">
        <v>0.71772724390029896</v>
      </c>
      <c r="L505">
        <v>0.80029881000518799</v>
      </c>
      <c r="M505">
        <v>0.72323375940322898</v>
      </c>
      <c r="N505">
        <v>0.2985025942325592</v>
      </c>
      <c r="O505">
        <v>0.56093549728393555</v>
      </c>
      <c r="P505">
        <v>-0.17476625740528107</v>
      </c>
      <c r="Q505">
        <v>0.4181329607963562</v>
      </c>
      <c r="R505">
        <v>0</v>
      </c>
      <c r="S505">
        <v>0</v>
      </c>
      <c r="T505">
        <f t="shared" si="19"/>
        <v>2.0898828608817834E-2</v>
      </c>
    </row>
    <row r="506" spans="1:20" x14ac:dyDescent="0.3">
      <c r="A506" s="1" t="s">
        <v>3</v>
      </c>
      <c r="B506" s="1">
        <v>21</v>
      </c>
      <c r="C506" s="1">
        <v>2004</v>
      </c>
      <c r="D506" s="1">
        <v>0.72094649432332902</v>
      </c>
      <c r="E506">
        <v>5.9041666666666597</v>
      </c>
      <c r="F506">
        <v>3.25</v>
      </c>
      <c r="G506">
        <v>3.8741666666666599</v>
      </c>
      <c r="H506">
        <v>0.37884891033172602</v>
      </c>
      <c r="I506">
        <v>0.81553906202316295</v>
      </c>
      <c r="J506">
        <v>0.42884257435798601</v>
      </c>
      <c r="K506">
        <v>0.79397547245025601</v>
      </c>
      <c r="L506">
        <v>0.909604072570801</v>
      </c>
      <c r="M506">
        <v>0.72853118181228604</v>
      </c>
      <c r="N506">
        <v>0.30735045671463013</v>
      </c>
      <c r="O506">
        <v>0.38595309853553772</v>
      </c>
      <c r="P506">
        <v>-0.17476625740528107</v>
      </c>
      <c r="Q506">
        <v>0.4181329607963562</v>
      </c>
      <c r="R506">
        <v>0</v>
      </c>
      <c r="S506">
        <v>0</v>
      </c>
      <c r="T506">
        <f t="shared" si="19"/>
        <v>-0.10603653850193327</v>
      </c>
    </row>
    <row r="507" spans="1:20" x14ac:dyDescent="0.3">
      <c r="A507" s="1" t="s">
        <v>3</v>
      </c>
      <c r="B507" s="1">
        <v>21</v>
      </c>
      <c r="C507" s="1">
        <v>2005</v>
      </c>
      <c r="D507" s="1">
        <v>0.535163545191778</v>
      </c>
      <c r="E507">
        <v>5.5933333333333302</v>
      </c>
      <c r="F507">
        <v>3.75</v>
      </c>
      <c r="G507">
        <v>3.72166666666666</v>
      </c>
      <c r="H507">
        <v>0.59233289957046498</v>
      </c>
      <c r="I507">
        <v>0.924596548080444</v>
      </c>
      <c r="J507">
        <v>0.48512858152389499</v>
      </c>
      <c r="K507">
        <v>0.80507254600524902</v>
      </c>
      <c r="L507">
        <v>0.97422289848327603</v>
      </c>
      <c r="M507">
        <v>0.74559557437896695</v>
      </c>
      <c r="N507">
        <v>0.43282875418663025</v>
      </c>
      <c r="O507">
        <v>0.38986727595329285</v>
      </c>
      <c r="P507">
        <v>-0.17476625740528107</v>
      </c>
      <c r="Q507">
        <v>0.4181329607963562</v>
      </c>
      <c r="R507">
        <v>0</v>
      </c>
      <c r="S507">
        <v>0</v>
      </c>
      <c r="T507">
        <f t="shared" si="19"/>
        <v>-0.25769311674914858</v>
      </c>
    </row>
    <row r="508" spans="1:20" x14ac:dyDescent="0.3">
      <c r="A508" s="1" t="s">
        <v>3</v>
      </c>
      <c r="B508" s="1">
        <v>21</v>
      </c>
      <c r="C508" s="1">
        <v>2006</v>
      </c>
      <c r="D508" s="1">
        <v>0.442805726523607</v>
      </c>
      <c r="E508">
        <v>5.9874999999999998</v>
      </c>
      <c r="F508">
        <v>4.5</v>
      </c>
      <c r="G508">
        <v>4.5033333333333303</v>
      </c>
      <c r="H508">
        <v>0.300606369972229</v>
      </c>
      <c r="I508">
        <v>0.98420768976211503</v>
      </c>
      <c r="J508">
        <v>0.42385545372963002</v>
      </c>
      <c r="K508">
        <v>0.72058492898940996</v>
      </c>
      <c r="L508">
        <v>0.837951719760895</v>
      </c>
      <c r="M508">
        <v>0.69055509567260698</v>
      </c>
      <c r="N508">
        <v>0.36401271820068359</v>
      </c>
      <c r="O508">
        <v>0.36946988105773926</v>
      </c>
      <c r="P508">
        <v>-0.17476625740528107</v>
      </c>
      <c r="Q508">
        <v>0.4181329607963562</v>
      </c>
      <c r="R508">
        <v>0</v>
      </c>
      <c r="S508">
        <v>0</v>
      </c>
      <c r="T508">
        <f t="shared" si="19"/>
        <v>-0.17257868084993383</v>
      </c>
    </row>
    <row r="509" spans="1:20" x14ac:dyDescent="0.3">
      <c r="A509" s="1" t="s">
        <v>3</v>
      </c>
      <c r="B509" s="1">
        <v>21</v>
      </c>
      <c r="C509" s="1">
        <v>2007</v>
      </c>
      <c r="D509" s="1">
        <v>0.42221719524621998</v>
      </c>
      <c r="E509">
        <v>6.5516666666666596</v>
      </c>
      <c r="F509">
        <v>5</v>
      </c>
      <c r="G509">
        <v>5.1741666666666601</v>
      </c>
      <c r="H509">
        <v>0.56971693038940396</v>
      </c>
      <c r="I509">
        <v>1.20181572437286</v>
      </c>
      <c r="J509">
        <v>0.56625473499298096</v>
      </c>
      <c r="K509">
        <v>0.92057889699935902</v>
      </c>
      <c r="L509">
        <v>1.0105497837066699</v>
      </c>
      <c r="M509">
        <v>0.69974112510681197</v>
      </c>
      <c r="N509">
        <v>0.40393906831741333</v>
      </c>
      <c r="O509">
        <v>0.3725612461566925</v>
      </c>
      <c r="P509">
        <v>-0.17476625740528107</v>
      </c>
      <c r="Q509">
        <v>0.4181329607963562</v>
      </c>
      <c r="R509">
        <v>0</v>
      </c>
      <c r="S509">
        <v>0</v>
      </c>
      <c r="T509">
        <f t="shared" si="19"/>
        <v>-4.6495630124352968E-2</v>
      </c>
    </row>
    <row r="510" spans="1:20" x14ac:dyDescent="0.3">
      <c r="A510" s="1" t="s">
        <v>3</v>
      </c>
      <c r="B510" s="1">
        <v>21</v>
      </c>
      <c r="C510" s="1">
        <v>2008</v>
      </c>
      <c r="D510" s="1">
        <v>0.63926561248969105</v>
      </c>
      <c r="E510">
        <v>7.1683333333333303</v>
      </c>
      <c r="F510">
        <v>3</v>
      </c>
      <c r="G510">
        <v>5.87083333333333</v>
      </c>
      <c r="H510">
        <v>0.42582508921623202</v>
      </c>
      <c r="I510">
        <v>0.99448692798614502</v>
      </c>
      <c r="J510">
        <v>0.42096868157386802</v>
      </c>
      <c r="K510">
        <v>0.72582358121871904</v>
      </c>
      <c r="L510">
        <v>0.86050456762313798</v>
      </c>
      <c r="M510">
        <v>0.65714359283447299</v>
      </c>
      <c r="N510">
        <v>0.12048909813165665</v>
      </c>
      <c r="O510">
        <v>0.5485265851020813</v>
      </c>
      <c r="P510">
        <v>7.7006131410598755E-2</v>
      </c>
      <c r="Q510">
        <v>0.47779181599617004</v>
      </c>
      <c r="R510">
        <v>0</v>
      </c>
      <c r="S510">
        <v>0</v>
      </c>
      <c r="T510">
        <f t="shared" si="19"/>
        <v>0.51406816133316702</v>
      </c>
    </row>
    <row r="511" spans="1:20" x14ac:dyDescent="0.3">
      <c r="A511" s="1" t="s">
        <v>3</v>
      </c>
      <c r="B511" s="1">
        <v>21</v>
      </c>
      <c r="C511" s="1">
        <v>2009</v>
      </c>
      <c r="D511" s="1">
        <v>0.61028502902281601</v>
      </c>
      <c r="E511">
        <v>5.6491666666666598</v>
      </c>
      <c r="F511">
        <v>2</v>
      </c>
      <c r="G511">
        <v>3.4824999999999999</v>
      </c>
      <c r="H511">
        <v>0.49974241852760298</v>
      </c>
      <c r="I511">
        <v>1.0248161554336499</v>
      </c>
      <c r="J511">
        <v>0.40962797403335599</v>
      </c>
      <c r="K511">
        <v>0.84930628538131703</v>
      </c>
      <c r="L511">
        <v>0.99423885345458995</v>
      </c>
      <c r="M511">
        <v>0.70763289928436302</v>
      </c>
      <c r="N511">
        <v>0.14004567265510559</v>
      </c>
      <c r="O511">
        <v>0.34156227111816406</v>
      </c>
      <c r="P511">
        <v>0.32877853512763977</v>
      </c>
      <c r="Q511">
        <v>0.53745067119598389</v>
      </c>
      <c r="R511">
        <v>0</v>
      </c>
      <c r="S511">
        <v>0</v>
      </c>
      <c r="T511">
        <f t="shared" si="19"/>
        <v>-4.5334181755854089E-2</v>
      </c>
    </row>
    <row r="512" spans="1:20" x14ac:dyDescent="0.3">
      <c r="A512" s="1" t="s">
        <v>3</v>
      </c>
      <c r="B512" s="1">
        <v>21</v>
      </c>
      <c r="C512" s="1">
        <v>2010</v>
      </c>
      <c r="D512" s="1">
        <v>0.490740501393226</v>
      </c>
      <c r="E512">
        <v>5.5116666666666596</v>
      </c>
      <c r="F512">
        <v>2.5</v>
      </c>
      <c r="G512">
        <v>3.8566666666666598</v>
      </c>
      <c r="H512">
        <v>0.42665672302246099</v>
      </c>
      <c r="I512">
        <v>1.14781618118286</v>
      </c>
      <c r="J512">
        <v>0.325895816087723</v>
      </c>
      <c r="K512">
        <v>0.91837137937545799</v>
      </c>
      <c r="L512">
        <v>1.00820755958557</v>
      </c>
      <c r="M512">
        <v>0.741072177886963</v>
      </c>
      <c r="N512">
        <v>0.23814599215984344</v>
      </c>
      <c r="O512">
        <v>0.61518591642379761</v>
      </c>
      <c r="P512">
        <v>0.5805509090423584</v>
      </c>
      <c r="Q512">
        <v>0.59710949659347534</v>
      </c>
      <c r="R512">
        <v>0</v>
      </c>
      <c r="S512">
        <v>0</v>
      </c>
      <c r="T512">
        <f t="shared" si="19"/>
        <v>-0.19588310698200126</v>
      </c>
    </row>
    <row r="513" spans="1:20" x14ac:dyDescent="0.3">
      <c r="A513" s="1" t="s">
        <v>3</v>
      </c>
      <c r="B513" s="1">
        <v>21</v>
      </c>
      <c r="C513" s="1">
        <v>2011</v>
      </c>
      <c r="D513" s="1">
        <v>0.50510155584976002</v>
      </c>
      <c r="E513">
        <v>5.7575000000000003</v>
      </c>
      <c r="F513">
        <v>3.25</v>
      </c>
      <c r="G513">
        <v>4.1524999999999999</v>
      </c>
      <c r="H513">
        <v>0.48332247138023399</v>
      </c>
      <c r="I513">
        <v>1.1579436063766499</v>
      </c>
      <c r="J513">
        <v>0.41249564290046697</v>
      </c>
      <c r="K513">
        <v>0.98229324817657504</v>
      </c>
      <c r="L513">
        <v>1.02559030056</v>
      </c>
      <c r="M513">
        <v>0.72691929340362504</v>
      </c>
      <c r="N513">
        <v>0.20450799167156219</v>
      </c>
      <c r="O513">
        <v>0.67224502563476563</v>
      </c>
      <c r="P513">
        <v>0.83232331275939941</v>
      </c>
      <c r="Q513">
        <v>0.6567683219909668</v>
      </c>
      <c r="R513">
        <v>0</v>
      </c>
      <c r="S513">
        <v>0</v>
      </c>
      <c r="T513">
        <f t="shared" si="19"/>
        <v>2.9264049769200998E-2</v>
      </c>
    </row>
    <row r="514" spans="1:20" x14ac:dyDescent="0.3">
      <c r="A514" s="1" t="s">
        <v>3</v>
      </c>
      <c r="B514" s="1">
        <v>21</v>
      </c>
      <c r="C514" s="1">
        <v>2012</v>
      </c>
      <c r="D514" s="1">
        <v>0.49343854772073198</v>
      </c>
      <c r="E514">
        <v>5.3958333333333304</v>
      </c>
      <c r="F514">
        <v>2.75</v>
      </c>
      <c r="G514">
        <v>3.7008333333333301</v>
      </c>
      <c r="H514">
        <v>0.49588224291801503</v>
      </c>
      <c r="I514">
        <v>1.07450258731842</v>
      </c>
      <c r="J514">
        <v>0.26710331439971902</v>
      </c>
      <c r="K514">
        <v>0.86539107561111495</v>
      </c>
      <c r="L514">
        <v>0.984835565090179</v>
      </c>
      <c r="M514">
        <v>0.72559577226638805</v>
      </c>
      <c r="N514">
        <v>0.33554691076278687</v>
      </c>
      <c r="O514">
        <v>0.57414823770523071</v>
      </c>
      <c r="P514">
        <v>1.0840957164764404</v>
      </c>
      <c r="Q514">
        <v>0.71642720699310303</v>
      </c>
      <c r="R514">
        <v>0</v>
      </c>
      <c r="S514">
        <v>0</v>
      </c>
      <c r="T514">
        <f t="shared" si="19"/>
        <v>-2.3090422102158691E-2</v>
      </c>
    </row>
    <row r="515" spans="1:20" x14ac:dyDescent="0.3">
      <c r="A515" s="1" t="s">
        <v>3</v>
      </c>
      <c r="B515" s="1">
        <v>21</v>
      </c>
      <c r="C515" s="1">
        <v>2013</v>
      </c>
      <c r="D515" s="1">
        <v>0.451351280432292</v>
      </c>
      <c r="E515">
        <v>4.64333333333333</v>
      </c>
      <c r="F515">
        <v>2.5</v>
      </c>
      <c r="G515">
        <v>2.89083333333333</v>
      </c>
      <c r="H515">
        <v>0.58101826906204201</v>
      </c>
      <c r="I515">
        <v>1.0034042596817001</v>
      </c>
      <c r="J515">
        <v>0.27857863903045699</v>
      </c>
      <c r="K515">
        <v>0.98861199617385898</v>
      </c>
      <c r="L515">
        <v>0.94514101743698098</v>
      </c>
      <c r="M515">
        <v>0.70578098297119096</v>
      </c>
      <c r="N515">
        <v>0.34749874472618103</v>
      </c>
      <c r="O515">
        <v>0.50913709402084351</v>
      </c>
      <c r="P515">
        <v>1.0840957164764404</v>
      </c>
      <c r="Q515">
        <v>0.71642720699310303</v>
      </c>
      <c r="R515">
        <v>0</v>
      </c>
      <c r="S515">
        <v>0</v>
      </c>
      <c r="T515">
        <f t="shared" si="19"/>
        <v>-8.5293837465369282E-2</v>
      </c>
    </row>
    <row r="516" spans="1:20" x14ac:dyDescent="0.3">
      <c r="A516" s="1" t="s">
        <v>3</v>
      </c>
      <c r="B516" s="1">
        <v>21</v>
      </c>
      <c r="C516" s="1">
        <v>2014</v>
      </c>
      <c r="D516" s="1">
        <v>0.422392916919339</v>
      </c>
      <c r="E516">
        <v>4.2633333333333301</v>
      </c>
      <c r="F516">
        <v>2</v>
      </c>
      <c r="G516">
        <v>2.5358333333333301</v>
      </c>
      <c r="H516">
        <v>0.51200586557388295</v>
      </c>
      <c r="I516">
        <v>1.0352879762649501</v>
      </c>
      <c r="J516">
        <v>0.108568802475929</v>
      </c>
      <c r="K516">
        <v>1.1340370178222701</v>
      </c>
      <c r="L516">
        <v>1.0059633255004901</v>
      </c>
      <c r="M516">
        <v>0.68019723892211903</v>
      </c>
      <c r="N516">
        <v>0.32474178075790405</v>
      </c>
      <c r="O516">
        <v>0.50488126277923584</v>
      </c>
      <c r="P516">
        <v>1.0840957164764404</v>
      </c>
      <c r="Q516">
        <v>0.71642720699310303</v>
      </c>
      <c r="R516">
        <v>0</v>
      </c>
      <c r="S516">
        <v>0</v>
      </c>
      <c r="T516">
        <f t="shared" si="19"/>
        <v>-6.4159258582843645E-2</v>
      </c>
    </row>
    <row r="517" spans="1:20" x14ac:dyDescent="0.3">
      <c r="A517" s="1" t="s">
        <v>3</v>
      </c>
      <c r="B517" s="1">
        <v>21</v>
      </c>
      <c r="C517" s="1">
        <v>2015</v>
      </c>
      <c r="D517" s="1">
        <v>0.41994856688913501</v>
      </c>
      <c r="E517">
        <v>3.5333333333333301</v>
      </c>
      <c r="F517">
        <v>1.5</v>
      </c>
      <c r="G517">
        <v>1.8091666666666599</v>
      </c>
      <c r="H517">
        <v>0.33969470858573902</v>
      </c>
      <c r="I517">
        <v>0.97755205631256104</v>
      </c>
      <c r="J517">
        <v>0.156361043453217</v>
      </c>
      <c r="K517">
        <v>1.0993340015411399</v>
      </c>
      <c r="L517">
        <v>0.90273952484130904</v>
      </c>
      <c r="M517">
        <v>0.63104426860809304</v>
      </c>
      <c r="N517">
        <v>0.29332560300827026</v>
      </c>
      <c r="O517">
        <v>0.76410573720932007</v>
      </c>
      <c r="P517">
        <v>1.0840957164764404</v>
      </c>
      <c r="Q517">
        <v>0.71642720699310303</v>
      </c>
      <c r="R517">
        <v>0</v>
      </c>
      <c r="S517">
        <v>0</v>
      </c>
      <c r="T517">
        <f t="shared" si="19"/>
        <v>-5.7869105571928137E-3</v>
      </c>
    </row>
    <row r="518" spans="1:20" x14ac:dyDescent="0.3">
      <c r="A518" s="1" t="s">
        <v>3</v>
      </c>
      <c r="B518" s="1">
        <v>21</v>
      </c>
      <c r="C518" s="1">
        <v>2016</v>
      </c>
      <c r="D518" s="1">
        <v>0.41310818200892402</v>
      </c>
      <c r="E518">
        <v>3.3675000000000002</v>
      </c>
      <c r="F518">
        <v>1.25</v>
      </c>
      <c r="G518">
        <v>1.5575000000000001</v>
      </c>
      <c r="H518">
        <v>0.420221447944641</v>
      </c>
      <c r="I518">
        <v>1.02125263214111</v>
      </c>
      <c r="J518">
        <v>0.15357650816440599</v>
      </c>
      <c r="K518">
        <v>1.1026177406311</v>
      </c>
      <c r="L518">
        <v>1.1269690990448</v>
      </c>
      <c r="M518">
        <v>0.64161503314971902</v>
      </c>
      <c r="N518">
        <v>0.21446900069713593</v>
      </c>
      <c r="O518">
        <v>0.76615458726882935</v>
      </c>
      <c r="P518">
        <v>2.2808303833007813</v>
      </c>
      <c r="Q518">
        <v>1</v>
      </c>
      <c r="R518">
        <v>0</v>
      </c>
      <c r="S518">
        <v>0</v>
      </c>
      <c r="T518">
        <f t="shared" si="19"/>
        <v>-1.6288625368774817E-2</v>
      </c>
    </row>
    <row r="519" spans="1:20" x14ac:dyDescent="0.3">
      <c r="A519" s="1" t="s">
        <v>3</v>
      </c>
      <c r="B519" s="1">
        <v>21</v>
      </c>
      <c r="C519" s="1">
        <v>2017</v>
      </c>
      <c r="D519" s="1">
        <v>0.38161690895397898</v>
      </c>
      <c r="E519">
        <v>3.4766666666666599</v>
      </c>
      <c r="F519">
        <v>1.5</v>
      </c>
      <c r="G519">
        <v>1.67</v>
      </c>
      <c r="H519">
        <v>0.44551938772201499</v>
      </c>
      <c r="I519">
        <v>1.0291231870651201</v>
      </c>
      <c r="J519">
        <v>0.38183072209358199</v>
      </c>
      <c r="K519">
        <v>1.09451079368591</v>
      </c>
      <c r="L519">
        <v>1.1309677362442001</v>
      </c>
      <c r="M519">
        <v>0.75816524028778098</v>
      </c>
      <c r="N519">
        <v>0.32898956537246704</v>
      </c>
      <c r="O519">
        <v>0.59807687997817993</v>
      </c>
      <c r="P519">
        <v>2.2808303833007813</v>
      </c>
      <c r="Q519">
        <v>1</v>
      </c>
      <c r="R519">
        <v>0</v>
      </c>
      <c r="S519">
        <v>0</v>
      </c>
      <c r="T519">
        <f t="shared" si="19"/>
        <v>-7.6230087968252244E-2</v>
      </c>
    </row>
    <row r="520" spans="1:20" x14ac:dyDescent="0.3">
      <c r="A520" s="1" t="s">
        <v>3</v>
      </c>
      <c r="B520" s="1">
        <v>21</v>
      </c>
      <c r="C520" s="1">
        <v>2018</v>
      </c>
      <c r="D520" s="1">
        <v>0.39057663806042398</v>
      </c>
      <c r="E520">
        <v>3.6625000000000001</v>
      </c>
      <c r="F520">
        <v>1.75</v>
      </c>
      <c r="G520">
        <v>2.0258333333333298</v>
      </c>
      <c r="H520">
        <v>0.57280486822128296</v>
      </c>
      <c r="I520">
        <v>1.1352561712264999</v>
      </c>
      <c r="J520">
        <v>0.63812375068664595</v>
      </c>
      <c r="K520">
        <v>1.09374976158142</v>
      </c>
      <c r="L520">
        <v>1.1995415687561</v>
      </c>
      <c r="M520">
        <v>0.79972046613693204</v>
      </c>
      <c r="N520">
        <v>0.40914344787597656</v>
      </c>
      <c r="O520">
        <v>0.3395124077796936</v>
      </c>
      <c r="P520">
        <v>2.2808303833007813</v>
      </c>
      <c r="Q520">
        <v>1</v>
      </c>
      <c r="R520">
        <v>0</v>
      </c>
      <c r="S520">
        <v>0</v>
      </c>
      <c r="T520">
        <f t="shared" si="19"/>
        <v>2.3478333627835888E-2</v>
      </c>
    </row>
    <row r="521" spans="1:20" x14ac:dyDescent="0.3">
      <c r="A521" s="1" t="s">
        <v>3</v>
      </c>
      <c r="B521" s="1">
        <v>21</v>
      </c>
      <c r="C521" s="1">
        <v>2019</v>
      </c>
      <c r="D521" s="1">
        <v>0.40924687385189701</v>
      </c>
      <c r="E521">
        <v>3.4458333333333302</v>
      </c>
      <c r="F521">
        <v>1.25</v>
      </c>
      <c r="G521">
        <v>1.8525</v>
      </c>
      <c r="H521">
        <v>0.70486527681350697</v>
      </c>
      <c r="I521">
        <v>1.3325451612472501</v>
      </c>
      <c r="J521">
        <v>0.54719793796539296</v>
      </c>
      <c r="K521">
        <v>1.05925858020782</v>
      </c>
      <c r="L521">
        <v>1.15620601177216</v>
      </c>
      <c r="M521">
        <v>0.75162905454635598</v>
      </c>
      <c r="N521">
        <v>0.32783755660057068</v>
      </c>
      <c r="O521">
        <v>8.9561380445957184E-2</v>
      </c>
      <c r="P521">
        <v>2.2808303833007813</v>
      </c>
      <c r="Q521">
        <v>1</v>
      </c>
      <c r="R521">
        <v>0</v>
      </c>
      <c r="S521">
        <v>0</v>
      </c>
      <c r="T521">
        <f t="shared" si="19"/>
        <v>4.7801721793162305E-2</v>
      </c>
    </row>
    <row r="522" spans="1:20" x14ac:dyDescent="0.3">
      <c r="A522" s="1" t="s">
        <v>3</v>
      </c>
      <c r="B522" s="1">
        <v>21</v>
      </c>
      <c r="C522" s="1">
        <v>2020</v>
      </c>
      <c r="D522" s="1">
        <v>0.42629016162468503</v>
      </c>
      <c r="E522">
        <v>2.8016666666666601</v>
      </c>
      <c r="F522">
        <v>0.5</v>
      </c>
      <c r="G522">
        <v>1.1608333333333301</v>
      </c>
      <c r="H522">
        <v>0.69826829433441195</v>
      </c>
      <c r="I522">
        <v>1.3701868057251001</v>
      </c>
      <c r="J522">
        <v>0.60833787918090798</v>
      </c>
      <c r="K522">
        <v>1.0249507427215601</v>
      </c>
      <c r="L522">
        <v>1.14742302894592</v>
      </c>
      <c r="M522">
        <v>0.82282894849777199</v>
      </c>
      <c r="N522">
        <v>0.33452922105789185</v>
      </c>
      <c r="O522">
        <v>2.2625595331192017E-2</v>
      </c>
      <c r="P522">
        <v>2.2808303833007813</v>
      </c>
      <c r="Q522">
        <v>1</v>
      </c>
      <c r="R522">
        <v>0</v>
      </c>
      <c r="S522">
        <v>0</v>
      </c>
      <c r="T522">
        <f t="shared" si="19"/>
        <v>4.164549288397458E-2</v>
      </c>
    </row>
    <row r="523" spans="1:20" x14ac:dyDescent="0.3">
      <c r="A523" s="1" t="s">
        <v>3</v>
      </c>
      <c r="B523" s="1">
        <v>21</v>
      </c>
      <c r="C523" s="1">
        <v>2021</v>
      </c>
      <c r="D523" s="1">
        <v>0.398612260944612</v>
      </c>
      <c r="E523">
        <v>2.8841666666666601</v>
      </c>
      <c r="F523">
        <v>1</v>
      </c>
      <c r="G523">
        <v>1.1966666666666601</v>
      </c>
      <c r="H523">
        <v>0.73328846693038896</v>
      </c>
      <c r="I523">
        <v>1.3656537532806401</v>
      </c>
      <c r="J523">
        <v>0.62904572486877397</v>
      </c>
      <c r="K523">
        <v>1.09228515625</v>
      </c>
      <c r="L523">
        <v>1.09546947479248</v>
      </c>
      <c r="M523">
        <v>0.93239480257034302</v>
      </c>
      <c r="N523">
        <v>0.3229937583208084</v>
      </c>
      <c r="O523">
        <v>0.36318617016077043</v>
      </c>
      <c r="P523">
        <v>2.2808303833007813</v>
      </c>
      <c r="Q523">
        <v>1</v>
      </c>
      <c r="R523">
        <v>0</v>
      </c>
      <c r="S523">
        <v>0</v>
      </c>
      <c r="T523">
        <f t="shared" si="19"/>
        <v>-6.4927373821123388E-2</v>
      </c>
    </row>
    <row r="524" spans="1:20" x14ac:dyDescent="0.3">
      <c r="A524" s="1" t="s">
        <v>3</v>
      </c>
      <c r="B524" s="1">
        <v>21</v>
      </c>
      <c r="C524" s="1">
        <v>2022</v>
      </c>
      <c r="D524" s="1">
        <v>0.434292552000758</v>
      </c>
      <c r="E524">
        <v>4.2925000000000004</v>
      </c>
      <c r="F524">
        <v>3.25</v>
      </c>
      <c r="G524">
        <v>3.1216666666666599</v>
      </c>
      <c r="H524">
        <v>0.74836885929107699</v>
      </c>
      <c r="I524">
        <v>1.3490473031997701</v>
      </c>
      <c r="J524">
        <v>0.57997673749923695</v>
      </c>
      <c r="K524">
        <v>1.1452225446701001</v>
      </c>
      <c r="L524">
        <v>1.1581643819809</v>
      </c>
      <c r="M524">
        <v>0.87811392545700095</v>
      </c>
      <c r="N524">
        <v>0.34469870984554291</v>
      </c>
      <c r="O524">
        <v>0.2825924867391586</v>
      </c>
      <c r="P524">
        <v>2.2808303833007813</v>
      </c>
      <c r="Q524">
        <v>1</v>
      </c>
      <c r="R524">
        <v>0</v>
      </c>
      <c r="S524">
        <v>0</v>
      </c>
      <c r="T524">
        <f t="shared" si="19"/>
        <v>8.9511273365231125E-2</v>
      </c>
    </row>
    <row r="525" spans="1:20" x14ac:dyDescent="0.3">
      <c r="A525" s="1" t="s">
        <v>3</v>
      </c>
      <c r="B525" s="1">
        <v>21</v>
      </c>
      <c r="C525" s="1">
        <v>2023</v>
      </c>
      <c r="D525" s="1">
        <v>0.38134195776089502</v>
      </c>
      <c r="E525">
        <v>5.1891666666666598</v>
      </c>
      <c r="F525">
        <v>3.5</v>
      </c>
      <c r="G525">
        <v>3.8441666666666601</v>
      </c>
      <c r="H525">
        <v>0.89408856630325295</v>
      </c>
      <c r="I525">
        <v>1.40480732917786</v>
      </c>
      <c r="J525">
        <v>0.60983473062515303</v>
      </c>
      <c r="K525">
        <v>1.1225231885910001</v>
      </c>
      <c r="L525">
        <v>1.24850225448608</v>
      </c>
      <c r="M525">
        <v>0.85959517955779996</v>
      </c>
      <c r="N525">
        <v>0.34784053874015808</v>
      </c>
      <c r="O525">
        <v>0.21949560809135438</v>
      </c>
      <c r="P525">
        <v>2.2808303833007813</v>
      </c>
      <c r="Q525">
        <v>1</v>
      </c>
      <c r="R525">
        <v>0</v>
      </c>
      <c r="S525">
        <v>0</v>
      </c>
      <c r="T525">
        <f t="shared" si="19"/>
        <v>-0.12192379076252398</v>
      </c>
    </row>
    <row r="526" spans="1:20" x14ac:dyDescent="0.3">
      <c r="A526" s="1" t="s">
        <v>3</v>
      </c>
      <c r="B526" s="1">
        <v>21</v>
      </c>
      <c r="C526" s="1">
        <v>2024</v>
      </c>
      <c r="D526" s="1">
        <v>0.39721909109987902</v>
      </c>
      <c r="E526">
        <v>4.7266666666666604</v>
      </c>
      <c r="F526">
        <v>3</v>
      </c>
      <c r="G526">
        <v>3.4816666666666598</v>
      </c>
      <c r="H526">
        <v>0.75577589273452761</v>
      </c>
      <c r="I526">
        <v>1.3644480705261242</v>
      </c>
      <c r="J526">
        <v>0.594878602027893</v>
      </c>
      <c r="K526">
        <v>1.088848042488096</v>
      </c>
      <c r="L526">
        <v>1.1611530303955082</v>
      </c>
      <c r="M526">
        <v>0.84891238212585451</v>
      </c>
      <c r="N526">
        <v>0.33557995691299441</v>
      </c>
      <c r="O526">
        <v>0.19549224815368654</v>
      </c>
      <c r="P526">
        <v>2.2808303833007813</v>
      </c>
      <c r="Q526">
        <v>1</v>
      </c>
      <c r="R526">
        <v>0</v>
      </c>
      <c r="S526">
        <v>0</v>
      </c>
      <c r="T526">
        <f t="shared" si="19"/>
        <v>4.1634897539753822E-2</v>
      </c>
    </row>
    <row r="527" spans="1:20" x14ac:dyDescent="0.3">
      <c r="A527" s="1" t="s">
        <v>2</v>
      </c>
      <c r="B527" s="1">
        <v>22</v>
      </c>
      <c r="C527" s="1">
        <v>2000</v>
      </c>
      <c r="D527" s="1">
        <v>0.40913517089802698</v>
      </c>
      <c r="E527">
        <v>7.8145513199476202</v>
      </c>
      <c r="F527">
        <v>6.5</v>
      </c>
      <c r="G527">
        <v>6.3596916666666603</v>
      </c>
      <c r="H527">
        <v>2.1819603443145801</v>
      </c>
      <c r="I527">
        <v>1.5868511199951201</v>
      </c>
      <c r="J527">
        <v>1.36238181591034</v>
      </c>
      <c r="K527">
        <v>1.6717001199722299</v>
      </c>
      <c r="L527">
        <v>1.7954139709472701</v>
      </c>
      <c r="M527">
        <v>1.6786813735961901</v>
      </c>
      <c r="N527">
        <v>0.25413736701011658</v>
      </c>
      <c r="O527">
        <v>9.2827953398227692E-2</v>
      </c>
      <c r="P527">
        <v>2.2808303833007813</v>
      </c>
      <c r="Q527">
        <v>1</v>
      </c>
      <c r="R527">
        <v>0</v>
      </c>
      <c r="S527">
        <v>0</v>
      </c>
    </row>
    <row r="528" spans="1:20" x14ac:dyDescent="0.3">
      <c r="A528" s="1" t="s">
        <v>2</v>
      </c>
      <c r="B528" s="1">
        <v>22</v>
      </c>
      <c r="C528" s="1">
        <v>2001</v>
      </c>
      <c r="D528" s="1">
        <v>0.40614108412626698</v>
      </c>
      <c r="E528">
        <v>7.5950946589777004</v>
      </c>
      <c r="F528">
        <v>4.75</v>
      </c>
      <c r="G528">
        <v>5.34950833333333</v>
      </c>
      <c r="H528">
        <v>2.2222667932510403</v>
      </c>
      <c r="I528">
        <v>1.6326487064361599</v>
      </c>
      <c r="J528">
        <v>1.3413727879524249</v>
      </c>
      <c r="K528">
        <v>1.6168208718299848</v>
      </c>
      <c r="L528">
        <v>1.7932825684547451</v>
      </c>
      <c r="M528">
        <v>1.5898624062538151</v>
      </c>
      <c r="N528">
        <v>0.3215218186378479</v>
      </c>
      <c r="O528">
        <v>2.6131948456168175E-2</v>
      </c>
      <c r="P528">
        <v>2.2808303833007813</v>
      </c>
      <c r="Q528">
        <v>1</v>
      </c>
      <c r="R528">
        <v>0</v>
      </c>
      <c r="S528">
        <v>0</v>
      </c>
      <c r="T528">
        <f>((D528-D527)/D527)</f>
        <v>-7.3180869911236342E-3</v>
      </c>
    </row>
    <row r="529" spans="1:20" x14ac:dyDescent="0.3">
      <c r="A529" s="1" t="s">
        <v>2</v>
      </c>
      <c r="B529" s="1">
        <v>22</v>
      </c>
      <c r="C529" s="1">
        <v>2002</v>
      </c>
      <c r="D529" s="1">
        <v>0.34898654738305401</v>
      </c>
      <c r="E529">
        <v>7.1758535072761003</v>
      </c>
      <c r="F529">
        <v>5.75</v>
      </c>
      <c r="G529">
        <v>5.33236666666666</v>
      </c>
      <c r="H529">
        <v>2.2625732421875</v>
      </c>
      <c r="I529">
        <v>1.6784462928771999</v>
      </c>
      <c r="J529">
        <v>1.3203637599945099</v>
      </c>
      <c r="K529">
        <v>1.5619416236877399</v>
      </c>
      <c r="L529">
        <v>1.7911511659622199</v>
      </c>
      <c r="M529">
        <v>1.50104343891144</v>
      </c>
      <c r="N529">
        <v>0.33909904956817627</v>
      </c>
      <c r="O529">
        <v>0.25547900795936584</v>
      </c>
      <c r="P529">
        <v>2.2808303833007813</v>
      </c>
      <c r="Q529">
        <v>1</v>
      </c>
      <c r="R529">
        <v>0</v>
      </c>
      <c r="S529">
        <v>0</v>
      </c>
      <c r="T529">
        <f t="shared" ref="T529:T551" si="20">((D529-D528)/D528)</f>
        <v>-0.14072581912310045</v>
      </c>
    </row>
    <row r="530" spans="1:20" x14ac:dyDescent="0.3">
      <c r="A530" s="1" t="s">
        <v>2</v>
      </c>
      <c r="B530" s="1">
        <v>22</v>
      </c>
      <c r="C530" s="1">
        <v>2003</v>
      </c>
      <c r="D530" s="1">
        <v>0.32907990429982698</v>
      </c>
      <c r="E530">
        <v>6.99677560126809</v>
      </c>
      <c r="F530">
        <v>5</v>
      </c>
      <c r="G530">
        <v>5.097925</v>
      </c>
      <c r="H530">
        <v>2.2846252918243399</v>
      </c>
      <c r="I530">
        <v>1.7619442939758301</v>
      </c>
      <c r="J530">
        <v>1.1883748769760101</v>
      </c>
      <c r="K530">
        <v>1.65078556537628</v>
      </c>
      <c r="L530">
        <v>1.8483295440673799</v>
      </c>
      <c r="M530">
        <v>1.6101155281066899</v>
      </c>
      <c r="N530">
        <v>0.38570147752761841</v>
      </c>
      <c r="O530">
        <v>0.48482406139373779</v>
      </c>
      <c r="P530">
        <v>2.2808303833007813</v>
      </c>
      <c r="Q530">
        <v>1</v>
      </c>
      <c r="R530">
        <v>0</v>
      </c>
      <c r="S530">
        <v>0</v>
      </c>
      <c r="T530">
        <f t="shared" si="20"/>
        <v>-5.704129065289483E-2</v>
      </c>
    </row>
    <row r="531" spans="1:20" x14ac:dyDescent="0.3">
      <c r="A531" s="1" t="s">
        <v>2</v>
      </c>
      <c r="B531" s="1">
        <v>22</v>
      </c>
      <c r="C531" s="1">
        <v>2004</v>
      </c>
      <c r="D531" s="1">
        <v>0.31016075231753398</v>
      </c>
      <c r="E531">
        <v>7.1021480173084797</v>
      </c>
      <c r="F531">
        <v>6.5</v>
      </c>
      <c r="G531">
        <v>5.7701166666666603</v>
      </c>
      <c r="H531">
        <v>2.3521380424499498</v>
      </c>
      <c r="I531">
        <v>1.9400452375412001</v>
      </c>
      <c r="J531">
        <v>1.50002658367157</v>
      </c>
      <c r="K531">
        <v>1.75323987007141</v>
      </c>
      <c r="L531">
        <v>1.8488308191299401</v>
      </c>
      <c r="M531">
        <v>1.6531778573989899</v>
      </c>
      <c r="N531">
        <v>0.33139416575431824</v>
      </c>
      <c r="O531">
        <v>0.53547227382659912</v>
      </c>
      <c r="P531">
        <v>2.2808303833007813</v>
      </c>
      <c r="Q531">
        <v>1</v>
      </c>
      <c r="R531">
        <v>0</v>
      </c>
      <c r="S531">
        <v>0</v>
      </c>
      <c r="T531">
        <f t="shared" si="20"/>
        <v>-5.7491058357229924E-2</v>
      </c>
    </row>
    <row r="532" spans="1:20" x14ac:dyDescent="0.3">
      <c r="A532" s="1" t="s">
        <v>2</v>
      </c>
      <c r="B532" s="1">
        <v>22</v>
      </c>
      <c r="C532" s="1">
        <v>2005</v>
      </c>
      <c r="D532" s="1">
        <v>0.30686501071119998</v>
      </c>
      <c r="E532">
        <v>7.7625601624071097</v>
      </c>
      <c r="F532">
        <v>7.25</v>
      </c>
      <c r="G532">
        <v>6.6827333333333296</v>
      </c>
      <c r="H532">
        <v>2.1913142204284699</v>
      </c>
      <c r="I532">
        <v>1.7413620948791499</v>
      </c>
      <c r="J532">
        <v>1.25225210189819</v>
      </c>
      <c r="K532">
        <v>1.6316220760345499</v>
      </c>
      <c r="L532">
        <v>1.8463984727859499</v>
      </c>
      <c r="M532">
        <v>1.62860155105591</v>
      </c>
      <c r="N532">
        <v>0.35726079344749451</v>
      </c>
      <c r="O532">
        <v>0.33805149793624878</v>
      </c>
      <c r="P532">
        <v>2.2808303833007813</v>
      </c>
      <c r="Q532">
        <v>1</v>
      </c>
      <c r="R532">
        <v>0</v>
      </c>
      <c r="S532">
        <v>0</v>
      </c>
      <c r="T532">
        <f t="shared" si="20"/>
        <v>-1.0625914406346013E-2</v>
      </c>
    </row>
    <row r="533" spans="1:20" x14ac:dyDescent="0.3">
      <c r="A533" s="1" t="s">
        <v>2</v>
      </c>
      <c r="B533" s="1">
        <v>22</v>
      </c>
      <c r="C533" s="1">
        <v>2006</v>
      </c>
      <c r="D533" s="1">
        <v>0.30006087865525199</v>
      </c>
      <c r="E533">
        <v>8.1921561456030201</v>
      </c>
      <c r="F533">
        <v>7.25</v>
      </c>
      <c r="G533">
        <v>6.9151166666666599</v>
      </c>
      <c r="H533">
        <v>2.3225510120391801</v>
      </c>
      <c r="I533">
        <v>1.58340215682983</v>
      </c>
      <c r="J533">
        <v>1.2544922828674301</v>
      </c>
      <c r="K533">
        <v>1.6953194141387899</v>
      </c>
      <c r="L533">
        <v>1.7947908639907799</v>
      </c>
      <c r="M533">
        <v>1.4993654489517201</v>
      </c>
      <c r="N533">
        <v>0.26589435338973999</v>
      </c>
      <c r="O533">
        <v>0.15811111032962799</v>
      </c>
      <c r="P533">
        <v>2.2808303833007813</v>
      </c>
      <c r="Q533">
        <v>1</v>
      </c>
      <c r="R533">
        <v>0</v>
      </c>
      <c r="S533">
        <v>0</v>
      </c>
      <c r="T533">
        <f t="shared" si="20"/>
        <v>-2.2173046187893879E-2</v>
      </c>
    </row>
    <row r="534" spans="1:20" x14ac:dyDescent="0.3">
      <c r="A534" s="1" t="s">
        <v>2</v>
      </c>
      <c r="B534" s="1">
        <v>22</v>
      </c>
      <c r="C534" s="1">
        <v>2007</v>
      </c>
      <c r="D534" s="1">
        <v>0.27965291734680198</v>
      </c>
      <c r="E534">
        <v>8.6122066140066895</v>
      </c>
      <c r="F534">
        <v>8.25</v>
      </c>
      <c r="G534">
        <v>7.78399166666666</v>
      </c>
      <c r="H534">
        <v>2.3176839351654102</v>
      </c>
      <c r="I534">
        <v>1.6577841043472299</v>
      </c>
      <c r="J534">
        <v>1.2433664798736599</v>
      </c>
      <c r="K534">
        <v>1.71598720550537</v>
      </c>
      <c r="L534">
        <v>1.82681655883789</v>
      </c>
      <c r="M534">
        <v>1.4779473543167101</v>
      </c>
      <c r="N534">
        <v>0.29067257046699524</v>
      </c>
      <c r="O534">
        <v>0.10612866282463074</v>
      </c>
      <c r="P534">
        <v>2.2808303833007813</v>
      </c>
      <c r="Q534">
        <v>1</v>
      </c>
      <c r="R534">
        <v>0</v>
      </c>
      <c r="S534">
        <v>0</v>
      </c>
      <c r="T534">
        <f t="shared" si="20"/>
        <v>-6.8012735948484879E-2</v>
      </c>
    </row>
    <row r="535" spans="1:20" x14ac:dyDescent="0.3">
      <c r="A535" s="1" t="s">
        <v>2</v>
      </c>
      <c r="B535" s="1">
        <v>22</v>
      </c>
      <c r="C535" s="1">
        <v>2008</v>
      </c>
      <c r="D535" s="1">
        <v>0.315776452367794</v>
      </c>
      <c r="E535">
        <v>8.9385326811094004</v>
      </c>
      <c r="F535">
        <v>5</v>
      </c>
      <c r="G535">
        <v>7.5514416666666602</v>
      </c>
      <c r="H535">
        <v>2.29752516746521</v>
      </c>
      <c r="I535">
        <v>1.6690648794174201</v>
      </c>
      <c r="J535">
        <v>1.1626434326171899</v>
      </c>
      <c r="K535">
        <v>1.7999126911163299</v>
      </c>
      <c r="L535">
        <v>1.8506597280502299</v>
      </c>
      <c r="M535">
        <v>1.47838854789734</v>
      </c>
      <c r="N535">
        <v>0.23547953367233276</v>
      </c>
      <c r="O535">
        <v>0.11429264396429062</v>
      </c>
      <c r="P535">
        <v>2.2808303833007813</v>
      </c>
      <c r="Q535">
        <v>1</v>
      </c>
      <c r="R535">
        <v>0</v>
      </c>
      <c r="S535">
        <v>0</v>
      </c>
      <c r="T535">
        <f t="shared" si="20"/>
        <v>0.12917274514320429</v>
      </c>
    </row>
    <row r="536" spans="1:20" x14ac:dyDescent="0.3">
      <c r="A536" s="1" t="s">
        <v>2</v>
      </c>
      <c r="B536" s="1">
        <v>22</v>
      </c>
      <c r="C536" s="1">
        <v>2009</v>
      </c>
      <c r="D536" s="1">
        <v>0.272096051527073</v>
      </c>
      <c r="E536">
        <v>6.6567597959730804</v>
      </c>
      <c r="F536">
        <v>2.5</v>
      </c>
      <c r="G536">
        <v>4.0397999999999996</v>
      </c>
      <c r="H536">
        <v>2.3803186416625999</v>
      </c>
      <c r="I536">
        <v>1.8480793237686199</v>
      </c>
      <c r="J536">
        <v>1.07115530967712</v>
      </c>
      <c r="K536">
        <v>1.8237383365631099</v>
      </c>
      <c r="L536">
        <v>1.92267489433289</v>
      </c>
      <c r="M536">
        <v>1.47848224639893</v>
      </c>
      <c r="N536">
        <v>0.24415779113769531</v>
      </c>
      <c r="O536">
        <v>0.10089665651321411</v>
      </c>
      <c r="P536">
        <v>2.2808303833007813</v>
      </c>
      <c r="Q536">
        <v>1</v>
      </c>
      <c r="R536">
        <v>0</v>
      </c>
      <c r="S536">
        <v>0</v>
      </c>
      <c r="T536">
        <f t="shared" si="20"/>
        <v>-0.1383269731266889</v>
      </c>
    </row>
    <row r="537" spans="1:20" x14ac:dyDescent="0.3">
      <c r="A537" s="1" t="s">
        <v>2</v>
      </c>
      <c r="B537" s="1">
        <v>22</v>
      </c>
      <c r="C537" s="1">
        <v>2010</v>
      </c>
      <c r="D537" s="1">
        <v>0.252235166345186</v>
      </c>
      <c r="E537">
        <v>6.2554542475587303</v>
      </c>
      <c r="F537">
        <v>3</v>
      </c>
      <c r="G537">
        <v>4.5832508089837898</v>
      </c>
      <c r="H537">
        <v>2.3294034004211399</v>
      </c>
      <c r="I537">
        <v>1.81132459640503</v>
      </c>
      <c r="J537">
        <v>1.23648881912231</v>
      </c>
      <c r="K537">
        <v>1.81236732006073</v>
      </c>
      <c r="L537">
        <v>1.86188757419586</v>
      </c>
      <c r="M537">
        <v>1.5075055360794101</v>
      </c>
      <c r="N537">
        <v>0.28752174973487854</v>
      </c>
      <c r="O537">
        <v>0.20470000803470612</v>
      </c>
      <c r="P537">
        <v>2.2808303833007813</v>
      </c>
      <c r="Q537">
        <v>1</v>
      </c>
      <c r="R537">
        <v>0</v>
      </c>
      <c r="S537">
        <v>0</v>
      </c>
      <c r="T537">
        <f t="shared" si="20"/>
        <v>-7.2992184452595352E-2</v>
      </c>
    </row>
    <row r="538" spans="1:20" x14ac:dyDescent="0.3">
      <c r="A538" s="1" t="s">
        <v>2</v>
      </c>
      <c r="B538" s="1">
        <v>22</v>
      </c>
      <c r="C538" s="1">
        <v>2011</v>
      </c>
      <c r="D538" s="1">
        <v>0.27024162482702602</v>
      </c>
      <c r="E538">
        <v>6.1088325149872098</v>
      </c>
      <c r="F538">
        <v>2.5</v>
      </c>
      <c r="G538">
        <v>4.2720558486974998</v>
      </c>
      <c r="H538">
        <v>2.2908675670623802</v>
      </c>
      <c r="I538">
        <v>1.8717058897018399</v>
      </c>
      <c r="J538">
        <v>1.37673103809357</v>
      </c>
      <c r="K538">
        <v>1.9641132354736299</v>
      </c>
      <c r="L538">
        <v>1.89464735984802</v>
      </c>
      <c r="M538">
        <v>1.5790759325027499</v>
      </c>
      <c r="N538">
        <v>0.24677784740924835</v>
      </c>
      <c r="O538">
        <v>0.45928213000297546</v>
      </c>
      <c r="P538">
        <v>2.2808303833007813</v>
      </c>
      <c r="Q538">
        <v>1</v>
      </c>
      <c r="R538">
        <v>0</v>
      </c>
      <c r="S538">
        <v>0</v>
      </c>
      <c r="T538">
        <f t="shared" si="20"/>
        <v>7.1387581449281423E-2</v>
      </c>
    </row>
    <row r="539" spans="1:20" x14ac:dyDescent="0.3">
      <c r="A539" s="1" t="s">
        <v>2</v>
      </c>
      <c r="B539" s="1">
        <v>22</v>
      </c>
      <c r="C539" s="1">
        <v>2012</v>
      </c>
      <c r="D539" s="1">
        <v>0.261543217054032</v>
      </c>
      <c r="E539">
        <v>5.8238375204311703</v>
      </c>
      <c r="F539">
        <v>2.5</v>
      </c>
      <c r="G539">
        <v>4.1081123006137199</v>
      </c>
      <c r="H539">
        <v>2.3078877925872798</v>
      </c>
      <c r="I539">
        <v>1.79215371608734</v>
      </c>
      <c r="J539">
        <v>1.3613655567169201</v>
      </c>
      <c r="K539">
        <v>1.84479916095734</v>
      </c>
      <c r="L539">
        <v>1.8832100629806501</v>
      </c>
      <c r="M539">
        <v>1.6177220344543499</v>
      </c>
      <c r="N539">
        <v>0.47552213072776794</v>
      </c>
      <c r="O539">
        <v>0.69242644309997559</v>
      </c>
      <c r="P539">
        <v>2.2808303833007813</v>
      </c>
      <c r="Q539">
        <v>1</v>
      </c>
      <c r="R539">
        <v>0</v>
      </c>
      <c r="S539">
        <v>0</v>
      </c>
      <c r="T539">
        <f t="shared" si="20"/>
        <v>-3.2187520255481092E-2</v>
      </c>
    </row>
    <row r="540" spans="1:20" x14ac:dyDescent="0.3">
      <c r="A540" s="1" t="s">
        <v>2</v>
      </c>
      <c r="B540" s="1">
        <v>22</v>
      </c>
      <c r="C540" s="1">
        <v>2013</v>
      </c>
      <c r="D540" s="1">
        <v>0.240423760200625</v>
      </c>
      <c r="E540">
        <v>5.5330696000847102</v>
      </c>
      <c r="F540">
        <v>2.5</v>
      </c>
      <c r="G540">
        <v>3.8270164713517998</v>
      </c>
      <c r="H540">
        <v>2.33418917655945</v>
      </c>
      <c r="I540">
        <v>1.7499874830246001</v>
      </c>
      <c r="J540">
        <v>1.4539265632629399</v>
      </c>
      <c r="K540">
        <v>1.81913685798645</v>
      </c>
      <c r="L540">
        <v>1.8701353073120099</v>
      </c>
      <c r="M540">
        <v>1.6060204505920399</v>
      </c>
      <c r="N540">
        <v>0.32395899295806885</v>
      </c>
      <c r="O540">
        <v>0.74986636638641357</v>
      </c>
      <c r="P540">
        <v>2.2808303833007813</v>
      </c>
      <c r="Q540">
        <v>1</v>
      </c>
      <c r="R540">
        <v>0</v>
      </c>
      <c r="S540">
        <v>0</v>
      </c>
      <c r="T540">
        <f t="shared" si="20"/>
        <v>-8.0749396185044023E-2</v>
      </c>
    </row>
    <row r="541" spans="1:20" x14ac:dyDescent="0.3">
      <c r="A541" s="1" t="s">
        <v>2</v>
      </c>
      <c r="B541" s="1">
        <v>22</v>
      </c>
      <c r="C541" s="1">
        <v>2014</v>
      </c>
      <c r="D541" s="1">
        <v>0.26553684063960797</v>
      </c>
      <c r="E541">
        <v>5.80416666666666</v>
      </c>
      <c r="F541">
        <v>3.5</v>
      </c>
      <c r="G541">
        <v>4.0116666666666596</v>
      </c>
      <c r="H541">
        <v>2.2494122982025102</v>
      </c>
      <c r="I541">
        <v>1.92498862743378</v>
      </c>
      <c r="J541">
        <v>1.46792757511139</v>
      </c>
      <c r="K541">
        <v>1.9438380002975499</v>
      </c>
      <c r="L541">
        <v>2.0040447711944598</v>
      </c>
      <c r="M541">
        <v>1.52432608604431</v>
      </c>
      <c r="N541">
        <v>0.34244167804718018</v>
      </c>
      <c r="O541">
        <v>0.5001634955406189</v>
      </c>
      <c r="P541">
        <v>2.2808303833007813</v>
      </c>
      <c r="Q541">
        <v>1</v>
      </c>
      <c r="R541">
        <v>0</v>
      </c>
      <c r="S541">
        <v>0</v>
      </c>
      <c r="T541">
        <f t="shared" si="20"/>
        <v>0.10445340517936749</v>
      </c>
    </row>
    <row r="542" spans="1:20" x14ac:dyDescent="0.3">
      <c r="A542" s="1" t="s">
        <v>2</v>
      </c>
      <c r="B542" s="1">
        <v>22</v>
      </c>
      <c r="C542" s="1">
        <v>2015</v>
      </c>
      <c r="D542" s="1">
        <v>0.29835249839542899</v>
      </c>
      <c r="E542">
        <v>5.7625000000000002</v>
      </c>
      <c r="F542">
        <v>2.5</v>
      </c>
      <c r="G542">
        <v>3.7308333333333299</v>
      </c>
      <c r="H542">
        <v>2.2332115173339799</v>
      </c>
      <c r="I542">
        <v>1.8528182506561299</v>
      </c>
      <c r="J542">
        <v>1.5111376047134399</v>
      </c>
      <c r="K542">
        <v>1.91034615039825</v>
      </c>
      <c r="L542">
        <v>1.9653397798538199</v>
      </c>
      <c r="M542">
        <v>1.55502474308014</v>
      </c>
      <c r="N542">
        <v>0.24172288179397583</v>
      </c>
      <c r="O542">
        <v>0.23991836607456207</v>
      </c>
      <c r="P542">
        <v>2.2808303833007813</v>
      </c>
      <c r="Q542">
        <v>1</v>
      </c>
      <c r="R542">
        <v>0</v>
      </c>
      <c r="S542">
        <v>0</v>
      </c>
      <c r="T542">
        <f t="shared" si="20"/>
        <v>0.12358231602355733</v>
      </c>
    </row>
    <row r="543" spans="1:20" x14ac:dyDescent="0.3">
      <c r="A543" s="1" t="s">
        <v>2</v>
      </c>
      <c r="B543" s="1">
        <v>22</v>
      </c>
      <c r="C543" s="1">
        <v>2016</v>
      </c>
      <c r="D543" s="1">
        <v>0.279255530648576</v>
      </c>
      <c r="E543">
        <v>5.0208333333333304</v>
      </c>
      <c r="F543">
        <v>1.75</v>
      </c>
      <c r="G543">
        <v>3.2316666666666598</v>
      </c>
      <c r="H543">
        <v>2.2367315292358398</v>
      </c>
      <c r="I543">
        <v>1.8059014081955</v>
      </c>
      <c r="J543">
        <v>1.50114333629608</v>
      </c>
      <c r="K543">
        <v>2.0274639129638699</v>
      </c>
      <c r="L543">
        <v>1.9136335849762001</v>
      </c>
      <c r="M543">
        <v>1.53386211395264</v>
      </c>
      <c r="N543">
        <v>0.35170522332191467</v>
      </c>
      <c r="O543">
        <v>0.23991836607456207</v>
      </c>
      <c r="P543">
        <v>2.2808303833007813</v>
      </c>
      <c r="Q543">
        <v>1</v>
      </c>
      <c r="R543">
        <v>0</v>
      </c>
      <c r="S543">
        <v>0</v>
      </c>
      <c r="T543">
        <f t="shared" si="20"/>
        <v>-6.4008070485611759E-2</v>
      </c>
    </row>
    <row r="544" spans="1:20" x14ac:dyDescent="0.3">
      <c r="A544" s="1" t="s">
        <v>2</v>
      </c>
      <c r="B544" s="1">
        <v>22</v>
      </c>
      <c r="C544" s="1">
        <v>2017</v>
      </c>
      <c r="D544" s="1">
        <v>0.260509412442751</v>
      </c>
      <c r="E544">
        <v>4.76</v>
      </c>
      <c r="F544">
        <v>1.75</v>
      </c>
      <c r="G544">
        <v>3.2966666666666602</v>
      </c>
      <c r="H544">
        <v>2.1959154605865501</v>
      </c>
      <c r="I544">
        <v>1.7279590368270901</v>
      </c>
      <c r="J544">
        <v>1.56194603443146</v>
      </c>
      <c r="K544">
        <v>2.0817992687225302</v>
      </c>
      <c r="L544">
        <v>1.8844755887985201</v>
      </c>
      <c r="M544">
        <v>1.5597071647644001</v>
      </c>
      <c r="N544">
        <v>0.3177114725112915</v>
      </c>
      <c r="O544">
        <v>0.35445049405097961</v>
      </c>
      <c r="P544">
        <v>2.2808303833007813</v>
      </c>
      <c r="Q544">
        <v>1</v>
      </c>
      <c r="R544">
        <v>0</v>
      </c>
      <c r="S544">
        <v>0</v>
      </c>
      <c r="T544">
        <f t="shared" si="20"/>
        <v>-6.7128905781335124E-2</v>
      </c>
    </row>
    <row r="545" spans="1:20" x14ac:dyDescent="0.3">
      <c r="A545" s="1" t="s">
        <v>2</v>
      </c>
      <c r="B545" s="1">
        <v>22</v>
      </c>
      <c r="C545" s="1">
        <v>2018</v>
      </c>
      <c r="D545" s="1">
        <v>0.24008814746329599</v>
      </c>
      <c r="E545" s="2">
        <v>5</v>
      </c>
      <c r="F545">
        <v>1.75</v>
      </c>
      <c r="G545">
        <v>3.2616666666666601</v>
      </c>
      <c r="H545">
        <v>2.13542580604553</v>
      </c>
      <c r="I545">
        <v>1.6287190914154099</v>
      </c>
      <c r="J545">
        <v>1.51216292381287</v>
      </c>
      <c r="K545">
        <v>2.0008597373962398</v>
      </c>
      <c r="L545">
        <v>1.83380126953125</v>
      </c>
      <c r="M545">
        <v>1.6052497625351001</v>
      </c>
      <c r="N545">
        <v>0.48269316554069519</v>
      </c>
      <c r="O545">
        <v>0.34548807144165039</v>
      </c>
      <c r="P545">
        <v>2.2808303833007813</v>
      </c>
      <c r="Q545">
        <v>1</v>
      </c>
      <c r="R545">
        <v>0</v>
      </c>
      <c r="S545">
        <v>0</v>
      </c>
      <c r="T545">
        <f t="shared" si="20"/>
        <v>-7.8389739502954608E-2</v>
      </c>
    </row>
    <row r="546" spans="1:20" x14ac:dyDescent="0.3">
      <c r="A546" s="1" t="s">
        <v>2</v>
      </c>
      <c r="B546" s="1">
        <v>22</v>
      </c>
      <c r="C546" s="1">
        <v>2019</v>
      </c>
      <c r="D546" s="1">
        <v>0.22249556083250199</v>
      </c>
      <c r="E546" s="2">
        <v>4.6500000000000004</v>
      </c>
      <c r="F546">
        <v>1</v>
      </c>
      <c r="G546">
        <v>3.0041666666666602</v>
      </c>
      <c r="H546">
        <v>2.1309337615966801</v>
      </c>
      <c r="I546">
        <v>1.63243579864502</v>
      </c>
      <c r="J546">
        <v>1.41695356369019</v>
      </c>
      <c r="K546">
        <v>1.8710173368453999</v>
      </c>
      <c r="L546">
        <v>1.84377896785736</v>
      </c>
      <c r="M546">
        <v>1.5376101732253999</v>
      </c>
      <c r="N546">
        <v>0.40678414702415466</v>
      </c>
      <c r="O546">
        <v>0.26823210716247559</v>
      </c>
      <c r="P546">
        <v>2.2808303833007813</v>
      </c>
      <c r="Q546">
        <v>1</v>
      </c>
      <c r="R546">
        <v>0</v>
      </c>
      <c r="S546">
        <v>0</v>
      </c>
      <c r="T546">
        <f t="shared" si="20"/>
        <v>-7.3275531577349104E-2</v>
      </c>
    </row>
    <row r="547" spans="1:20" x14ac:dyDescent="0.3">
      <c r="A547" s="1" t="s">
        <v>2</v>
      </c>
      <c r="B547" s="1">
        <v>22</v>
      </c>
      <c r="C547" s="1">
        <v>2020</v>
      </c>
      <c r="D547" s="1">
        <v>0.20113955539571199</v>
      </c>
      <c r="E547" s="2">
        <v>3.6</v>
      </c>
      <c r="F547">
        <v>0.25</v>
      </c>
      <c r="G547">
        <v>1.6783333333333299</v>
      </c>
      <c r="H547">
        <v>2.1169075965881299</v>
      </c>
      <c r="I547">
        <v>1.5387432575225799</v>
      </c>
      <c r="J547">
        <v>1.4683537483215301</v>
      </c>
      <c r="K547">
        <v>1.8744479417800901</v>
      </c>
      <c r="L547">
        <v>1.8383927345275899</v>
      </c>
      <c r="M547">
        <v>1.5974744558334399</v>
      </c>
      <c r="N547">
        <v>0.39424619078636169</v>
      </c>
      <c r="O547">
        <v>0.26823210716247559</v>
      </c>
      <c r="P547">
        <v>2.2808303833007813</v>
      </c>
      <c r="Q547">
        <v>1</v>
      </c>
      <c r="R547">
        <v>0</v>
      </c>
      <c r="S547">
        <v>0</v>
      </c>
      <c r="T547">
        <f t="shared" si="20"/>
        <v>-9.5983961913141833E-2</v>
      </c>
    </row>
    <row r="548" spans="1:20" x14ac:dyDescent="0.3">
      <c r="A548" s="1" t="s">
        <v>2</v>
      </c>
      <c r="B548" s="1">
        <v>22</v>
      </c>
      <c r="C548" s="1">
        <v>2021</v>
      </c>
      <c r="D548" s="1">
        <v>0.18186989380089799</v>
      </c>
      <c r="E548" s="2">
        <v>3.2</v>
      </c>
      <c r="F548">
        <v>0.75</v>
      </c>
      <c r="G548">
        <v>1.0149999999999999</v>
      </c>
      <c r="H548">
        <v>2.1697580814361599</v>
      </c>
      <c r="I548">
        <v>1.3056893348693801</v>
      </c>
      <c r="J548">
        <v>1.3944965600967401</v>
      </c>
      <c r="K548">
        <v>1.8026428222656199</v>
      </c>
      <c r="L548">
        <v>1.78116655349731</v>
      </c>
      <c r="M548">
        <v>1.59413957595825</v>
      </c>
      <c r="N548">
        <v>0.39062803983688354</v>
      </c>
      <c r="O548">
        <v>0.29526422917842865</v>
      </c>
      <c r="P548">
        <v>2.2808303833007813</v>
      </c>
      <c r="Q548">
        <v>1</v>
      </c>
      <c r="R548">
        <v>0</v>
      </c>
      <c r="S548">
        <v>0</v>
      </c>
      <c r="T548">
        <f t="shared" si="20"/>
        <v>-9.5802446997080307E-2</v>
      </c>
    </row>
    <row r="549" spans="1:20" x14ac:dyDescent="0.3">
      <c r="A549" s="1" t="s">
        <v>2</v>
      </c>
      <c r="B549" s="1">
        <v>22</v>
      </c>
      <c r="C549" s="1">
        <v>2022</v>
      </c>
      <c r="D549" s="1">
        <v>0.16320204258000401</v>
      </c>
      <c r="E549" s="2">
        <v>5.45</v>
      </c>
      <c r="F549">
        <v>4.25</v>
      </c>
      <c r="G549">
        <v>2.8174999999999999</v>
      </c>
      <c r="H549">
        <v>2.1632339954376198</v>
      </c>
      <c r="I549">
        <v>1.3402615785598799</v>
      </c>
      <c r="J549">
        <v>1.3211691379547099</v>
      </c>
      <c r="K549">
        <v>1.8651930093765301</v>
      </c>
      <c r="L549">
        <v>1.73037374019623</v>
      </c>
      <c r="M549">
        <v>1.6516860723495499</v>
      </c>
      <c r="N549">
        <v>0.39841260313987731</v>
      </c>
      <c r="O549">
        <v>0.30633340179920199</v>
      </c>
      <c r="P549">
        <v>2.2808303833007813</v>
      </c>
      <c r="Q549">
        <v>1</v>
      </c>
      <c r="R549">
        <v>0</v>
      </c>
      <c r="S549">
        <v>0</v>
      </c>
      <c r="T549">
        <f t="shared" si="20"/>
        <v>-0.10264398813214576</v>
      </c>
    </row>
    <row r="550" spans="1:20" x14ac:dyDescent="0.3">
      <c r="A550" s="1" t="s">
        <v>2</v>
      </c>
      <c r="B550" s="1">
        <v>22</v>
      </c>
      <c r="C550" s="1">
        <v>2023</v>
      </c>
      <c r="D550" s="1">
        <v>0.217780673020847</v>
      </c>
      <c r="E550" s="2">
        <v>8.6</v>
      </c>
      <c r="F550">
        <v>5.5</v>
      </c>
      <c r="G550">
        <v>5.5191666666666599</v>
      </c>
      <c r="H550">
        <v>2.08409547805786</v>
      </c>
      <c r="I550">
        <v>1.5299768447876001</v>
      </c>
      <c r="J550">
        <v>1.35856962203979</v>
      </c>
      <c r="K550">
        <v>1.91022837162018</v>
      </c>
      <c r="L550">
        <v>1.7057080268859901</v>
      </c>
      <c r="M550">
        <v>1.68778347969055</v>
      </c>
      <c r="N550">
        <v>0.41455282926559445</v>
      </c>
      <c r="O550">
        <v>0.29670998334884641</v>
      </c>
      <c r="P550">
        <v>2.2808303833007813</v>
      </c>
      <c r="Q550">
        <v>1</v>
      </c>
      <c r="R550">
        <v>0</v>
      </c>
      <c r="S550">
        <v>0</v>
      </c>
      <c r="T550">
        <f t="shared" si="20"/>
        <v>0.33442369702013841</v>
      </c>
    </row>
    <row r="551" spans="1:20" x14ac:dyDescent="0.3">
      <c r="A551" s="1" t="s">
        <v>2</v>
      </c>
      <c r="B551" s="1">
        <v>22</v>
      </c>
      <c r="C551" s="1">
        <v>2024</v>
      </c>
      <c r="D551" s="1">
        <v>0.22992122655476399</v>
      </c>
      <c r="E551" s="2">
        <v>8.4499999999999993</v>
      </c>
      <c r="F551">
        <v>4.25</v>
      </c>
      <c r="G551">
        <v>5.7308333333333303</v>
      </c>
      <c r="H551">
        <v>2.1329857826232899</v>
      </c>
      <c r="I551">
        <v>1.4694213628768922</v>
      </c>
      <c r="J551">
        <v>1.3856472671031925</v>
      </c>
      <c r="K551">
        <v>1.8647058963775642</v>
      </c>
      <c r="L551">
        <v>1.7798840045928959</v>
      </c>
      <c r="M551">
        <v>1.6137387514114381</v>
      </c>
      <c r="N551">
        <v>0.40092476201057431</v>
      </c>
      <c r="O551">
        <v>0.28695436573028565</v>
      </c>
      <c r="P551">
        <v>2.2808303833007813</v>
      </c>
      <c r="Q551">
        <v>1</v>
      </c>
      <c r="R551">
        <v>0</v>
      </c>
      <c r="S551">
        <v>0</v>
      </c>
      <c r="T551">
        <f t="shared" si="20"/>
        <v>5.5746698572994309E-2</v>
      </c>
    </row>
    <row r="552" spans="1:20" x14ac:dyDescent="0.3">
      <c r="A552" s="1" t="s">
        <v>1</v>
      </c>
      <c r="B552" s="1">
        <v>23</v>
      </c>
      <c r="C552" s="1">
        <v>2000</v>
      </c>
      <c r="D552" s="1">
        <v>1.3424761241390699</v>
      </c>
      <c r="E552">
        <v>7.8333333333333304</v>
      </c>
      <c r="F552" s="2">
        <v>1.5</v>
      </c>
      <c r="G552">
        <v>3.2916666666666599</v>
      </c>
      <c r="H552">
        <v>-0.23017446696758301</v>
      </c>
      <c r="I552">
        <v>0.177485346794128</v>
      </c>
      <c r="J552">
        <v>0.454958707094193</v>
      </c>
      <c r="K552">
        <v>0.48479375243187001</v>
      </c>
      <c r="L552">
        <v>0.57901805639267001</v>
      </c>
      <c r="M552">
        <v>0.46780294179916398</v>
      </c>
      <c r="N552">
        <v>0.30593720078468323</v>
      </c>
      <c r="O552">
        <v>0.69821619987487793</v>
      </c>
      <c r="P552">
        <v>-0.17476625740528107</v>
      </c>
      <c r="Q552">
        <v>0.4181329607963562</v>
      </c>
      <c r="R552">
        <v>0</v>
      </c>
      <c r="S552">
        <v>0</v>
      </c>
    </row>
    <row r="553" spans="1:20" x14ac:dyDescent="0.3">
      <c r="A553" s="1" t="s">
        <v>1</v>
      </c>
      <c r="B553" s="1">
        <v>23</v>
      </c>
      <c r="C553" s="1">
        <v>2001</v>
      </c>
      <c r="D553" s="1">
        <v>1.0411339782978599</v>
      </c>
      <c r="E553">
        <v>7.2708333333333304</v>
      </c>
      <c r="F553">
        <v>2.25</v>
      </c>
      <c r="G553">
        <v>2.5416666666666599</v>
      </c>
      <c r="H553">
        <v>-0.28451140969991701</v>
      </c>
      <c r="I553">
        <v>0.21926820278167702</v>
      </c>
      <c r="J553">
        <v>0.48061768710613295</v>
      </c>
      <c r="K553">
        <v>0.3118900284171105</v>
      </c>
      <c r="L553">
        <v>0.4829705208539965</v>
      </c>
      <c r="M553">
        <v>0.39465978741645802</v>
      </c>
      <c r="N553">
        <v>0.33878275752067566</v>
      </c>
      <c r="O553">
        <v>0.5040823221206665</v>
      </c>
      <c r="P553">
        <v>-0.17476625740528107</v>
      </c>
      <c r="Q553">
        <v>0.4181329607963562</v>
      </c>
      <c r="R553">
        <v>0</v>
      </c>
      <c r="S553">
        <v>0</v>
      </c>
      <c r="T553">
        <f>((D553-D552)/D552)</f>
        <v>-0.22446741541452794</v>
      </c>
    </row>
    <row r="554" spans="1:20" x14ac:dyDescent="0.3">
      <c r="A554" s="1" t="s">
        <v>1</v>
      </c>
      <c r="B554" s="1">
        <v>23</v>
      </c>
      <c r="C554" s="1">
        <v>2002</v>
      </c>
      <c r="D554" s="1">
        <v>1.0275399377710901</v>
      </c>
      <c r="E554" s="2">
        <v>7</v>
      </c>
      <c r="F554">
        <v>1.75</v>
      </c>
      <c r="G554" s="2">
        <v>1.95</v>
      </c>
      <c r="H554">
        <v>-0.33884835243225098</v>
      </c>
      <c r="I554">
        <v>0.26105105876922602</v>
      </c>
      <c r="J554">
        <v>0.50627666711807295</v>
      </c>
      <c r="K554">
        <v>0.13898630440235099</v>
      </c>
      <c r="L554">
        <v>0.38692298531532299</v>
      </c>
      <c r="M554">
        <v>0.321516633033752</v>
      </c>
      <c r="N554">
        <v>0.44023653864860535</v>
      </c>
      <c r="O554">
        <v>0.34093695878982544</v>
      </c>
      <c r="P554">
        <v>-0.17476625740528107</v>
      </c>
      <c r="Q554">
        <v>0.4181329607963562</v>
      </c>
      <c r="R554">
        <v>0</v>
      </c>
      <c r="S554">
        <v>0</v>
      </c>
      <c r="T554">
        <f t="shared" ref="T554:T576" si="21">((D554-D553)/D553)</f>
        <v>-1.3056955982739697E-2</v>
      </c>
    </row>
    <row r="555" spans="1:20" x14ac:dyDescent="0.3">
      <c r="A555" s="1" t="s">
        <v>1</v>
      </c>
      <c r="B555" s="1">
        <v>23</v>
      </c>
      <c r="C555" s="1">
        <v>2003</v>
      </c>
      <c r="D555" s="1">
        <v>1.0555187124827801</v>
      </c>
      <c r="E555" s="2">
        <v>5.85</v>
      </c>
      <c r="F555">
        <v>1.25</v>
      </c>
      <c r="G555" s="2">
        <v>1.35</v>
      </c>
      <c r="H555">
        <v>-0.19602355360984799</v>
      </c>
      <c r="I555">
        <v>0.30508330464363098</v>
      </c>
      <c r="J555">
        <v>-0.14508438110351601</v>
      </c>
      <c r="K555">
        <v>0.35713082551956199</v>
      </c>
      <c r="L555">
        <v>0.15371115505695301</v>
      </c>
      <c r="M555">
        <v>0.21824109554290799</v>
      </c>
      <c r="N555">
        <v>0.45211800932884216</v>
      </c>
      <c r="O555">
        <v>7.1907520294189453E-2</v>
      </c>
      <c r="P555">
        <v>-0.17476625740528107</v>
      </c>
      <c r="Q555">
        <v>0.4181329607963562</v>
      </c>
      <c r="R555">
        <v>0</v>
      </c>
      <c r="S555">
        <v>0</v>
      </c>
      <c r="T555">
        <f t="shared" si="21"/>
        <v>2.7228892701125287E-2</v>
      </c>
    </row>
    <row r="556" spans="1:20" x14ac:dyDescent="0.3">
      <c r="A556" s="1" t="s">
        <v>1</v>
      </c>
      <c r="B556" s="1">
        <v>23</v>
      </c>
      <c r="C556" s="1">
        <v>2004</v>
      </c>
      <c r="D556" s="1">
        <v>0.93806618445503898</v>
      </c>
      <c r="E556">
        <v>4.5530871572200704</v>
      </c>
      <c r="F556">
        <v>2</v>
      </c>
      <c r="G556">
        <v>1.09836378355251</v>
      </c>
      <c r="H556">
        <v>-0.24613223969936401</v>
      </c>
      <c r="I556">
        <v>0.26154786348342901</v>
      </c>
      <c r="J556">
        <v>-0.71740567684173595</v>
      </c>
      <c r="K556">
        <v>0.21965555846691101</v>
      </c>
      <c r="L556">
        <v>6.238729134202E-2</v>
      </c>
      <c r="M556">
        <v>0.12658327817916901</v>
      </c>
      <c r="N556">
        <v>0.40769702196121216</v>
      </c>
      <c r="O556">
        <v>1.383441686630249E-2</v>
      </c>
      <c r="P556">
        <v>-0.17476625740528107</v>
      </c>
      <c r="Q556">
        <v>0.4181329607963562</v>
      </c>
      <c r="R556">
        <v>0</v>
      </c>
      <c r="S556">
        <v>0</v>
      </c>
      <c r="T556">
        <f t="shared" si="21"/>
        <v>-0.11127469995436697</v>
      </c>
    </row>
    <row r="557" spans="1:20" x14ac:dyDescent="0.3">
      <c r="A557" s="1" t="s">
        <v>1</v>
      </c>
      <c r="B557" s="1">
        <v>23</v>
      </c>
      <c r="C557" s="1">
        <v>2005</v>
      </c>
      <c r="D557" s="1">
        <v>0.62699660830758897</v>
      </c>
      <c r="E557">
        <v>4.7193500584509298</v>
      </c>
      <c r="F557">
        <v>4</v>
      </c>
      <c r="G557">
        <v>1.6531109481017601</v>
      </c>
      <c r="H557">
        <v>-0.20643283426761599</v>
      </c>
      <c r="I557">
        <v>0.34090164303779602</v>
      </c>
      <c r="J557">
        <v>-0.87012660503387496</v>
      </c>
      <c r="K557">
        <v>0.45396339893341098</v>
      </c>
      <c r="L557">
        <v>-7.5570750050246698E-3</v>
      </c>
      <c r="M557">
        <v>-9.8295785486698206E-2</v>
      </c>
      <c r="N557">
        <v>0.42919903993606567</v>
      </c>
      <c r="O557">
        <v>1.0561396367847919E-2</v>
      </c>
      <c r="P557">
        <v>-0.17476625740528107</v>
      </c>
      <c r="Q557">
        <v>0.4181329607963562</v>
      </c>
      <c r="R557">
        <v>0</v>
      </c>
      <c r="S557">
        <v>0</v>
      </c>
      <c r="T557">
        <f t="shared" si="21"/>
        <v>-0.3316072802775244</v>
      </c>
    </row>
    <row r="558" spans="1:20" x14ac:dyDescent="0.3">
      <c r="A558" s="1" t="s">
        <v>1</v>
      </c>
      <c r="B558" s="1">
        <v>23</v>
      </c>
      <c r="C558" s="1">
        <v>2006</v>
      </c>
      <c r="D558" s="1">
        <v>0.60126724633110995</v>
      </c>
      <c r="E558">
        <v>6.2738072845504602</v>
      </c>
      <c r="F558">
        <v>5</v>
      </c>
      <c r="G558">
        <v>4.3387304266194597</v>
      </c>
      <c r="H558">
        <v>-0.41343030333518999</v>
      </c>
      <c r="I558">
        <v>0.417947977781296</v>
      </c>
      <c r="J558">
        <v>-1.13020014762878</v>
      </c>
      <c r="K558">
        <v>0.229795873165131</v>
      </c>
      <c r="L558">
        <v>-6.93550705909729E-2</v>
      </c>
      <c r="M558">
        <v>-0.739193975925446</v>
      </c>
      <c r="N558">
        <v>0.35379859805107117</v>
      </c>
      <c r="O558">
        <v>7.0671260356903076E-2</v>
      </c>
      <c r="P558">
        <v>-0.17476625740528107</v>
      </c>
      <c r="Q558">
        <v>0.4181329607963562</v>
      </c>
      <c r="R558">
        <v>0</v>
      </c>
      <c r="S558">
        <v>0</v>
      </c>
      <c r="T558">
        <f t="shared" si="21"/>
        <v>-4.1035887013693109E-2</v>
      </c>
    </row>
    <row r="559" spans="1:20" x14ac:dyDescent="0.3">
      <c r="A559" s="1" t="s">
        <v>1</v>
      </c>
      <c r="B559" s="1">
        <v>23</v>
      </c>
      <c r="C559" s="1">
        <v>2007</v>
      </c>
      <c r="D559" s="1">
        <v>0.62175161674177604</v>
      </c>
      <c r="E559">
        <v>6.0465683619697801</v>
      </c>
      <c r="F559">
        <v>3.25</v>
      </c>
      <c r="G559">
        <v>2.8407899146901898</v>
      </c>
      <c r="H559">
        <v>-0.40017232298851002</v>
      </c>
      <c r="I559">
        <v>0.28591948747634899</v>
      </c>
      <c r="J559">
        <v>-1.11284792423248</v>
      </c>
      <c r="K559">
        <v>8.61985608935356E-2</v>
      </c>
      <c r="L559">
        <v>-0.13744048774242401</v>
      </c>
      <c r="M559">
        <v>-0.56250232458114602</v>
      </c>
      <c r="N559">
        <v>0.52247768640518188</v>
      </c>
      <c r="O559">
        <v>0.25121045112609863</v>
      </c>
      <c r="P559">
        <v>-1.2538762092590332</v>
      </c>
      <c r="Q559">
        <v>0.1624319851398468</v>
      </c>
      <c r="R559">
        <v>0</v>
      </c>
      <c r="S559">
        <v>0</v>
      </c>
      <c r="T559">
        <f t="shared" si="21"/>
        <v>3.4068661706853749E-2</v>
      </c>
    </row>
    <row r="560" spans="1:20" x14ac:dyDescent="0.3">
      <c r="A560" s="1" t="s">
        <v>1</v>
      </c>
      <c r="B560" s="1">
        <v>23</v>
      </c>
      <c r="C560" s="1">
        <v>2008</v>
      </c>
      <c r="D560" s="1">
        <v>0.651517114747723</v>
      </c>
      <c r="E560">
        <v>5.8218881928614197</v>
      </c>
      <c r="F560">
        <v>2.75</v>
      </c>
      <c r="G560">
        <v>2.53599795678966</v>
      </c>
      <c r="H560">
        <v>-0.44062724709510798</v>
      </c>
      <c r="I560">
        <v>0.15694396197795901</v>
      </c>
      <c r="J560">
        <v>-1.2720932960510301</v>
      </c>
      <c r="K560">
        <v>0.11253724992275201</v>
      </c>
      <c r="L560">
        <v>-0.15974041819572399</v>
      </c>
      <c r="M560">
        <v>-0.52966690063476596</v>
      </c>
      <c r="N560">
        <v>0.32343435287475586</v>
      </c>
      <c r="O560">
        <v>0.36349388957023621</v>
      </c>
      <c r="P560">
        <v>-0.17476625740528107</v>
      </c>
      <c r="Q560">
        <v>0.4181329607963562</v>
      </c>
      <c r="R560">
        <v>0</v>
      </c>
      <c r="S560">
        <v>0</v>
      </c>
      <c r="T560">
        <f t="shared" si="21"/>
        <v>4.7873615772693813E-2</v>
      </c>
    </row>
    <row r="561" spans="1:20" x14ac:dyDescent="0.3">
      <c r="A561" s="1" t="s">
        <v>1</v>
      </c>
      <c r="B561" s="1">
        <v>23</v>
      </c>
      <c r="C561" s="1">
        <v>2009</v>
      </c>
      <c r="D561" s="1">
        <v>1.35174167814254</v>
      </c>
      <c r="E561">
        <v>4.7759975406505504</v>
      </c>
      <c r="F561">
        <v>1.25</v>
      </c>
      <c r="G561">
        <v>1.02193983408433</v>
      </c>
      <c r="H561">
        <v>-0.3320132791996</v>
      </c>
      <c r="I561">
        <v>0.206796795129776</v>
      </c>
      <c r="J561">
        <v>-1.42447113990784</v>
      </c>
      <c r="K561">
        <v>0.121483989059925</v>
      </c>
      <c r="L561">
        <v>-0.260052651166916</v>
      </c>
      <c r="M561">
        <v>-0.455878525972366</v>
      </c>
      <c r="N561">
        <v>0.41655188798904419</v>
      </c>
      <c r="O561">
        <v>0.3943750262260437</v>
      </c>
      <c r="P561">
        <v>-1.2538762092590332</v>
      </c>
      <c r="Q561">
        <v>0.1624319851398468</v>
      </c>
      <c r="R561">
        <v>0</v>
      </c>
      <c r="S561">
        <v>0</v>
      </c>
      <c r="T561">
        <f t="shared" si="21"/>
        <v>1.0747600447395065</v>
      </c>
    </row>
    <row r="562" spans="1:20" x14ac:dyDescent="0.3">
      <c r="A562" s="1" t="s">
        <v>1</v>
      </c>
      <c r="B562" s="1">
        <v>23</v>
      </c>
      <c r="C562" s="1">
        <v>2010</v>
      </c>
      <c r="D562" s="1">
        <v>1.29964762665379</v>
      </c>
      <c r="E562">
        <v>4.3340399188977399</v>
      </c>
      <c r="F562">
        <v>2</v>
      </c>
      <c r="G562">
        <v>1.1996725026172601</v>
      </c>
      <c r="H562">
        <v>-0.36033946275711098</v>
      </c>
      <c r="I562">
        <v>8.3291068673133906E-2</v>
      </c>
      <c r="J562">
        <v>-1.44278836250305</v>
      </c>
      <c r="K562">
        <v>6.1810683459043503E-2</v>
      </c>
      <c r="L562">
        <v>-0.23362262547016099</v>
      </c>
      <c r="M562">
        <v>-0.49582150578498801</v>
      </c>
      <c r="N562">
        <v>0.43470287322998047</v>
      </c>
      <c r="O562">
        <v>0.51891744136810303</v>
      </c>
      <c r="P562">
        <v>-1.2538762092590332</v>
      </c>
      <c r="Q562">
        <v>0.1624319851398468</v>
      </c>
      <c r="R562">
        <v>0</v>
      </c>
      <c r="S562">
        <v>0</v>
      </c>
      <c r="T562">
        <f t="shared" si="21"/>
        <v>-3.8538466580636678E-2</v>
      </c>
    </row>
    <row r="563" spans="1:20" x14ac:dyDescent="0.3">
      <c r="A563" s="1" t="s">
        <v>1</v>
      </c>
      <c r="B563" s="1">
        <v>23</v>
      </c>
      <c r="C563" s="1">
        <v>2011</v>
      </c>
      <c r="D563" s="1">
        <v>1.4173016189350101</v>
      </c>
      <c r="E563">
        <v>5.0675676133722698</v>
      </c>
      <c r="F563">
        <v>3.25</v>
      </c>
      <c r="G563">
        <v>2.4580602042385999</v>
      </c>
      <c r="H563">
        <v>-0.35324403643608099</v>
      </c>
      <c r="I563">
        <v>9.9299393594264998E-2</v>
      </c>
      <c r="J563">
        <v>-1.13353371620178</v>
      </c>
      <c r="K563">
        <v>9.0382799506187397E-2</v>
      </c>
      <c r="L563">
        <v>-0.22975252568721799</v>
      </c>
      <c r="M563">
        <v>-0.40518170595169101</v>
      </c>
      <c r="N563">
        <v>0.31724384427070618</v>
      </c>
      <c r="O563">
        <v>0.67259132862091064</v>
      </c>
      <c r="P563">
        <v>-1.2538762092590332</v>
      </c>
      <c r="Q563">
        <v>0.1624319851398468</v>
      </c>
      <c r="R563">
        <v>0</v>
      </c>
      <c r="S563">
        <v>0</v>
      </c>
      <c r="T563">
        <f t="shared" si="21"/>
        <v>9.0527609075195623E-2</v>
      </c>
    </row>
    <row r="564" spans="1:20" x14ac:dyDescent="0.3">
      <c r="A564" s="1" t="s">
        <v>1</v>
      </c>
      <c r="B564" s="1">
        <v>23</v>
      </c>
      <c r="C564" s="1">
        <v>2012</v>
      </c>
      <c r="D564" s="1">
        <v>1.42288274079939</v>
      </c>
      <c r="E564">
        <v>5.1873141065471602</v>
      </c>
      <c r="F564">
        <v>2.75</v>
      </c>
      <c r="G564">
        <v>2.6001499824719301</v>
      </c>
      <c r="H564">
        <v>-0.397404074668884</v>
      </c>
      <c r="I564">
        <v>0.13015991449356101</v>
      </c>
      <c r="J564">
        <v>-1.21663069725037</v>
      </c>
      <c r="K564">
        <v>0.13722421228885701</v>
      </c>
      <c r="L564">
        <v>-0.17236910760402699</v>
      </c>
      <c r="M564">
        <v>-0.32114115357398998</v>
      </c>
      <c r="N564">
        <v>0.38349375128746033</v>
      </c>
      <c r="O564">
        <v>0.60806363821029663</v>
      </c>
      <c r="P564">
        <v>-1.2538762092590332</v>
      </c>
      <c r="Q564">
        <v>0.1624319851398468</v>
      </c>
      <c r="R564">
        <v>0</v>
      </c>
      <c r="S564">
        <v>0</v>
      </c>
      <c r="T564">
        <f t="shared" si="21"/>
        <v>3.9378504827883775E-3</v>
      </c>
    </row>
    <row r="565" spans="1:20" x14ac:dyDescent="0.3">
      <c r="A565" s="1" t="s">
        <v>1</v>
      </c>
      <c r="B565" s="1">
        <v>23</v>
      </c>
      <c r="C565" s="1">
        <v>2013</v>
      </c>
      <c r="D565" s="1">
        <v>1.56657940260133</v>
      </c>
      <c r="E565">
        <v>5.0604336005123596</v>
      </c>
      <c r="F565">
        <v>2.25</v>
      </c>
      <c r="G565">
        <v>2.43305606719735</v>
      </c>
      <c r="H565">
        <v>-0.37266832590103099</v>
      </c>
      <c r="I565">
        <v>0.16293603181839</v>
      </c>
      <c r="J565">
        <v>-1.3116827011108401</v>
      </c>
      <c r="K565">
        <v>0.13063965737819699</v>
      </c>
      <c r="L565">
        <v>-0.13927754759788499</v>
      </c>
      <c r="M565">
        <v>-0.42999470233917197</v>
      </c>
      <c r="N565">
        <v>0.31622573733329773</v>
      </c>
      <c r="O565">
        <v>0.5858798623085022</v>
      </c>
      <c r="P565">
        <v>-1.2538762092590332</v>
      </c>
      <c r="Q565">
        <v>0.1624319851398468</v>
      </c>
      <c r="R565">
        <v>0</v>
      </c>
      <c r="S565">
        <v>0</v>
      </c>
      <c r="T565">
        <f t="shared" si="21"/>
        <v>0.10098981292106313</v>
      </c>
    </row>
    <row r="566" spans="1:20" x14ac:dyDescent="0.3">
      <c r="A566" s="1" t="s">
        <v>1</v>
      </c>
      <c r="B566" s="1">
        <v>23</v>
      </c>
      <c r="C566" s="1">
        <v>2014</v>
      </c>
      <c r="D566" s="1">
        <v>1.6016424275263399</v>
      </c>
      <c r="E566">
        <v>4.9491521481262302</v>
      </c>
      <c r="F566">
        <v>2</v>
      </c>
      <c r="G566">
        <v>1.75309614610677</v>
      </c>
      <c r="H566">
        <v>-0.48082262277603099</v>
      </c>
      <c r="I566">
        <v>0.256995350122452</v>
      </c>
      <c r="J566">
        <v>-0.90638631582260099</v>
      </c>
      <c r="K566">
        <v>0.17480647563934301</v>
      </c>
      <c r="L566">
        <v>-0.220402136445045</v>
      </c>
      <c r="M566">
        <v>-0.87490892410278298</v>
      </c>
      <c r="N566">
        <v>0.50638121366500854</v>
      </c>
      <c r="O566">
        <v>0.54995626211166382</v>
      </c>
      <c r="P566">
        <v>-1.2538762092590332</v>
      </c>
      <c r="Q566">
        <v>0.1624319851398468</v>
      </c>
      <c r="R566">
        <v>0</v>
      </c>
      <c r="S566">
        <v>0</v>
      </c>
      <c r="T566">
        <f t="shared" si="21"/>
        <v>2.2381900889790324E-2</v>
      </c>
    </row>
    <row r="567" spans="1:20" x14ac:dyDescent="0.3">
      <c r="A567" s="1" t="s">
        <v>1</v>
      </c>
      <c r="B567" s="1">
        <v>23</v>
      </c>
      <c r="C567" s="1">
        <v>2015</v>
      </c>
      <c r="D567" s="1">
        <v>1.46890617750532</v>
      </c>
      <c r="E567">
        <v>4.7318749887701301</v>
      </c>
      <c r="F567">
        <v>1.5</v>
      </c>
      <c r="G567">
        <v>1.4334155955311401</v>
      </c>
      <c r="H567">
        <v>-0.55597341060638406</v>
      </c>
      <c r="I567">
        <v>0.238737538456917</v>
      </c>
      <c r="J567">
        <v>-0.995044946670532</v>
      </c>
      <c r="K567">
        <v>0.19590173661708801</v>
      </c>
      <c r="L567">
        <v>-0.18811464309692399</v>
      </c>
      <c r="M567">
        <v>-0.96903872489929199</v>
      </c>
      <c r="N567">
        <v>0.37504646182060242</v>
      </c>
      <c r="O567">
        <v>0.70199042558670044</v>
      </c>
      <c r="P567">
        <v>-1.2538762092590332</v>
      </c>
      <c r="Q567">
        <v>0.1624319851398468</v>
      </c>
      <c r="R567">
        <v>0</v>
      </c>
      <c r="S567">
        <v>0</v>
      </c>
      <c r="T567">
        <f t="shared" si="21"/>
        <v>-8.287508356407905E-2</v>
      </c>
    </row>
    <row r="568" spans="1:20" x14ac:dyDescent="0.3">
      <c r="A568" s="1" t="s">
        <v>1</v>
      </c>
      <c r="B568" s="1">
        <v>23</v>
      </c>
      <c r="C568" s="1">
        <v>2016</v>
      </c>
      <c r="D568" s="1">
        <v>1.5168206062095899</v>
      </c>
      <c r="E568">
        <v>4.4683455234990799</v>
      </c>
      <c r="F568">
        <v>1.5</v>
      </c>
      <c r="G568">
        <v>1.30034238213158</v>
      </c>
      <c r="H568">
        <v>-0.45174601674079901</v>
      </c>
      <c r="I568">
        <v>0.22570513188839</v>
      </c>
      <c r="J568">
        <v>-0.99130022525787398</v>
      </c>
      <c r="K568">
        <v>5.2868694067001301E-2</v>
      </c>
      <c r="L568">
        <v>-2.82307099550962E-2</v>
      </c>
      <c r="M568">
        <v>-1.022944688797</v>
      </c>
      <c r="N568">
        <v>0.45289301872253418</v>
      </c>
      <c r="O568">
        <v>0.44072523713111877</v>
      </c>
      <c r="P568">
        <v>-1.2538762092590332</v>
      </c>
      <c r="Q568">
        <v>0.1624319851398468</v>
      </c>
      <c r="R568">
        <v>0</v>
      </c>
      <c r="S568">
        <v>0</v>
      </c>
      <c r="T568">
        <f t="shared" si="21"/>
        <v>3.2619121246834255E-2</v>
      </c>
    </row>
    <row r="569" spans="1:20" x14ac:dyDescent="0.3">
      <c r="A569" s="1" t="s">
        <v>1</v>
      </c>
      <c r="B569" s="1">
        <v>23</v>
      </c>
      <c r="C569" s="1">
        <v>2017</v>
      </c>
      <c r="D569" s="1">
        <v>1.4725576247291401</v>
      </c>
      <c r="E569">
        <v>4.4165828333333303</v>
      </c>
      <c r="F569">
        <v>1.5</v>
      </c>
      <c r="G569">
        <v>1.2891618772276501</v>
      </c>
      <c r="H569">
        <v>-0.44612604379653897</v>
      </c>
      <c r="I569">
        <v>0.257845818996429</v>
      </c>
      <c r="J569">
        <v>-0.75487941503524802</v>
      </c>
      <c r="K569">
        <v>7.6168579980731002E-3</v>
      </c>
      <c r="L569">
        <v>1.3869789429009001E-2</v>
      </c>
      <c r="M569">
        <v>-1.04547691345215</v>
      </c>
      <c r="N569">
        <v>0.52441918849945068</v>
      </c>
      <c r="O569">
        <v>0.29783424735069275</v>
      </c>
      <c r="P569">
        <v>-1.2538762092590332</v>
      </c>
      <c r="Q569">
        <v>0.1624319851398468</v>
      </c>
      <c r="R569">
        <v>0</v>
      </c>
      <c r="S569">
        <v>0</v>
      </c>
      <c r="T569">
        <f t="shared" si="21"/>
        <v>-2.9181421520280755E-2</v>
      </c>
    </row>
    <row r="570" spans="1:20" x14ac:dyDescent="0.3">
      <c r="A570" s="1" t="s">
        <v>1</v>
      </c>
      <c r="B570" s="1">
        <v>23</v>
      </c>
      <c r="C570" s="1">
        <v>2018</v>
      </c>
      <c r="D570" s="1">
        <v>1.47331423952061</v>
      </c>
      <c r="E570">
        <v>4.1466666666666603</v>
      </c>
      <c r="F570">
        <v>1.75</v>
      </c>
      <c r="G570">
        <v>1.2875000000000001</v>
      </c>
      <c r="H570">
        <v>-0.45822659134864802</v>
      </c>
      <c r="I570">
        <v>0.25453999638557401</v>
      </c>
      <c r="J570">
        <v>-0.79941612482070901</v>
      </c>
      <c r="K570">
        <v>-4.40966561436653E-2</v>
      </c>
      <c r="L570">
        <v>-4.03118878602982E-3</v>
      </c>
      <c r="M570">
        <v>-1.0174583196639999</v>
      </c>
      <c r="N570">
        <v>0.32545894384384155</v>
      </c>
      <c r="O570">
        <v>0.11749226599931717</v>
      </c>
      <c r="P570">
        <v>-1.2538762092590332</v>
      </c>
      <c r="Q570">
        <v>0.1624319851398468</v>
      </c>
      <c r="R570">
        <v>0</v>
      </c>
      <c r="S570">
        <v>0</v>
      </c>
      <c r="T570">
        <f t="shared" si="21"/>
        <v>5.1380997168725708E-4</v>
      </c>
    </row>
    <row r="571" spans="1:20" x14ac:dyDescent="0.3">
      <c r="A571" s="1" t="s">
        <v>1</v>
      </c>
      <c r="B571" s="1">
        <v>23</v>
      </c>
      <c r="C571" s="1">
        <v>2019</v>
      </c>
      <c r="D571" s="1">
        <v>1.4310520038780401</v>
      </c>
      <c r="E571">
        <v>4.0841666666666603</v>
      </c>
      <c r="F571">
        <v>1.25</v>
      </c>
      <c r="G571">
        <v>1.4166666666666601</v>
      </c>
      <c r="H571">
        <v>-0.47199535369873002</v>
      </c>
      <c r="I571">
        <v>0.26060953736305198</v>
      </c>
      <c r="J571">
        <v>-0.49140611290931702</v>
      </c>
      <c r="K571">
        <v>-2.1945092827081701E-2</v>
      </c>
      <c r="L571">
        <v>8.87417942285538E-2</v>
      </c>
      <c r="M571">
        <v>-0.84608566761016801</v>
      </c>
      <c r="N571">
        <v>0.40075749158859253</v>
      </c>
      <c r="O571">
        <v>0.10552873462438583</v>
      </c>
      <c r="P571">
        <v>-0.17476625740528107</v>
      </c>
      <c r="Q571">
        <v>0.4181329607963562</v>
      </c>
      <c r="R571">
        <v>0</v>
      </c>
      <c r="S571">
        <v>0</v>
      </c>
      <c r="T571">
        <f t="shared" si="21"/>
        <v>-2.8685147071083283E-2</v>
      </c>
    </row>
    <row r="572" spans="1:20" x14ac:dyDescent="0.3">
      <c r="A572" s="1" t="s">
        <v>1</v>
      </c>
      <c r="B572" s="1">
        <v>23</v>
      </c>
      <c r="C572" s="1">
        <v>2020</v>
      </c>
      <c r="D572" s="1">
        <v>1.5732340013036099</v>
      </c>
      <c r="E572">
        <v>3.2925</v>
      </c>
      <c r="F572">
        <v>0.5</v>
      </c>
      <c r="G572">
        <v>0.62166666666666603</v>
      </c>
      <c r="H572">
        <v>-0.483811765909195</v>
      </c>
      <c r="I572">
        <v>0.20181253552436801</v>
      </c>
      <c r="J572">
        <v>-0.57827049493789695</v>
      </c>
      <c r="K572">
        <v>6.3660755753517206E-2</v>
      </c>
      <c r="L572">
        <v>0.111505389213562</v>
      </c>
      <c r="M572">
        <v>-0.80926191806793202</v>
      </c>
      <c r="N572">
        <v>0.31338822841644287</v>
      </c>
      <c r="O572">
        <v>2.4459704756736755E-2</v>
      </c>
      <c r="P572">
        <v>-0.17476625740528107</v>
      </c>
      <c r="Q572">
        <v>0.4181329607963562</v>
      </c>
      <c r="R572">
        <v>0</v>
      </c>
      <c r="S572">
        <v>0</v>
      </c>
      <c r="T572">
        <f t="shared" si="21"/>
        <v>9.9354878117823536E-2</v>
      </c>
    </row>
    <row r="573" spans="1:20" x14ac:dyDescent="0.3">
      <c r="A573" s="1" t="s">
        <v>1</v>
      </c>
      <c r="B573" s="1">
        <v>23</v>
      </c>
      <c r="C573" s="1">
        <v>2021</v>
      </c>
      <c r="D573" s="1">
        <v>1.71464731576995</v>
      </c>
      <c r="E573">
        <v>3.06</v>
      </c>
      <c r="F573">
        <v>0.5</v>
      </c>
      <c r="G573">
        <v>0.40583333333333299</v>
      </c>
      <c r="H573">
        <v>-0.47887092828750599</v>
      </c>
      <c r="I573">
        <v>0.220056802034378</v>
      </c>
      <c r="J573">
        <v>-0.56877988576889005</v>
      </c>
      <c r="K573">
        <v>8.3535075187683105E-2</v>
      </c>
      <c r="L573">
        <v>9.3798831105232197E-2</v>
      </c>
      <c r="M573">
        <v>-0.78939777612686202</v>
      </c>
      <c r="N573">
        <v>0.40338337421417236</v>
      </c>
      <c r="O573">
        <v>0.19720803797245026</v>
      </c>
      <c r="P573">
        <v>-0.17476625740528107</v>
      </c>
      <c r="Q573">
        <v>0.4181329607963562</v>
      </c>
      <c r="R573">
        <v>0</v>
      </c>
      <c r="S573">
        <v>0</v>
      </c>
      <c r="T573">
        <f t="shared" si="21"/>
        <v>8.9887018936256446E-2</v>
      </c>
    </row>
    <row r="574" spans="1:20" x14ac:dyDescent="0.3">
      <c r="A574" s="1" t="s">
        <v>1</v>
      </c>
      <c r="B574" s="1">
        <v>23</v>
      </c>
      <c r="C574" s="1">
        <v>2022</v>
      </c>
      <c r="D574" s="1">
        <v>1.8054675220682499</v>
      </c>
      <c r="E574">
        <v>3.1383333333333301</v>
      </c>
      <c r="F574">
        <v>1.25</v>
      </c>
      <c r="G574">
        <v>0.51</v>
      </c>
      <c r="H574">
        <v>-0.45244434475898698</v>
      </c>
      <c r="I574">
        <v>0.127444162964821</v>
      </c>
      <c r="J574">
        <v>-0.39333930611610401</v>
      </c>
      <c r="K574">
        <v>0.16501940786838501</v>
      </c>
      <c r="L574">
        <v>6.5747417509555803E-2</v>
      </c>
      <c r="M574">
        <v>-0.62035149335861195</v>
      </c>
      <c r="N574">
        <v>0.39348144531250001</v>
      </c>
      <c r="O574">
        <v>0.14850459814071654</v>
      </c>
      <c r="P574">
        <v>-0.17476625740528107</v>
      </c>
      <c r="Q574">
        <v>0.4181329607963562</v>
      </c>
      <c r="R574">
        <v>0</v>
      </c>
      <c r="S574">
        <v>0</v>
      </c>
      <c r="T574">
        <f t="shared" si="21"/>
        <v>5.2967281062996759E-2</v>
      </c>
    </row>
    <row r="575" spans="1:20" x14ac:dyDescent="0.3">
      <c r="A575" s="1" t="s">
        <v>1</v>
      </c>
      <c r="B575" s="1">
        <v>23</v>
      </c>
      <c r="C575" s="1">
        <v>2023</v>
      </c>
      <c r="D575" s="1">
        <v>1.8786395323162</v>
      </c>
      <c r="E575">
        <v>4.2858333333333301</v>
      </c>
      <c r="F575">
        <v>2.5</v>
      </c>
      <c r="G575">
        <v>1.3741666666666601</v>
      </c>
      <c r="H575">
        <v>-0.48905077576637301</v>
      </c>
      <c r="I575">
        <v>0.171705812215805</v>
      </c>
      <c r="J575">
        <v>-0.28030288219451899</v>
      </c>
      <c r="K575">
        <v>0.15825778245925901</v>
      </c>
      <c r="L575">
        <v>0.24487274885177601</v>
      </c>
      <c r="M575">
        <v>-0.45037135481834401</v>
      </c>
      <c r="N575">
        <v>0.36729389667510987</v>
      </c>
      <c r="O575">
        <v>0.11863866829872131</v>
      </c>
      <c r="P575">
        <v>-0.17476625740528107</v>
      </c>
      <c r="Q575">
        <v>0.4181329607963562</v>
      </c>
      <c r="R575">
        <v>0</v>
      </c>
      <c r="S575">
        <v>0</v>
      </c>
      <c r="T575">
        <f t="shared" si="21"/>
        <v>4.0528012469661041E-2</v>
      </c>
    </row>
    <row r="576" spans="1:20" x14ac:dyDescent="0.3">
      <c r="A576" s="1" t="s">
        <v>1</v>
      </c>
      <c r="B576" s="1">
        <v>23</v>
      </c>
      <c r="C576" s="1">
        <v>2024</v>
      </c>
      <c r="D576" s="1">
        <v>1.7959832375029601</v>
      </c>
      <c r="E576">
        <v>4.51416666666666</v>
      </c>
      <c r="F576">
        <v>2.25</v>
      </c>
      <c r="G576">
        <v>1.63333333333333</v>
      </c>
      <c r="H576">
        <v>-0.47523463368415825</v>
      </c>
      <c r="I576">
        <v>0.19632577002048479</v>
      </c>
      <c r="J576">
        <v>-0.46241973638534545</v>
      </c>
      <c r="K576">
        <v>8.9705585688352518E-2</v>
      </c>
      <c r="L576">
        <v>0.12093323618173595</v>
      </c>
      <c r="M576">
        <v>-0.70309364199638369</v>
      </c>
      <c r="N576">
        <v>0.37566088724136348</v>
      </c>
      <c r="O576">
        <v>0.11886794875860214</v>
      </c>
      <c r="P576">
        <v>-0.17476625740528107</v>
      </c>
      <c r="Q576">
        <v>0.4181329607963562</v>
      </c>
      <c r="R576">
        <v>0</v>
      </c>
      <c r="S576">
        <v>0</v>
      </c>
      <c r="T576">
        <f t="shared" si="21"/>
        <v>-4.3997953514441288E-2</v>
      </c>
    </row>
  </sheetData>
  <autoFilter ref="A1:Q576" xr:uid="{1F72714D-B0C6-405E-9CC2-FF8BAB6FA6B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5118B-181A-44EE-B3A2-3EF7F5AB51B2}">
  <dimension ref="A1:M576"/>
  <sheetViews>
    <sheetView workbookViewId="0">
      <selection activeCell="M19" sqref="M19"/>
    </sheetView>
  </sheetViews>
  <sheetFormatPr defaultRowHeight="14.4" x14ac:dyDescent="0.3"/>
  <sheetData>
    <row r="1" spans="1:13" x14ac:dyDescent="0.3">
      <c r="A1" t="s">
        <v>52</v>
      </c>
      <c r="B1" t="s">
        <v>27</v>
      </c>
    </row>
    <row r="2" spans="1:13" x14ac:dyDescent="0.3">
      <c r="A2" s="5" t="s">
        <v>24</v>
      </c>
      <c r="B2" s="5">
        <v>0.20590353656847499</v>
      </c>
    </row>
    <row r="3" spans="1:13" x14ac:dyDescent="0.3">
      <c r="A3" s="5" t="s">
        <v>24</v>
      </c>
      <c r="B3" s="5">
        <v>0.258742172210844</v>
      </c>
      <c r="L3" t="s">
        <v>83</v>
      </c>
      <c r="M3" t="s">
        <v>84</v>
      </c>
    </row>
    <row r="4" spans="1:13" x14ac:dyDescent="0.3">
      <c r="A4" s="5" t="s">
        <v>24</v>
      </c>
      <c r="B4" s="5">
        <v>0.39305798135530101</v>
      </c>
      <c r="K4" s="5" t="s">
        <v>24</v>
      </c>
      <c r="L4">
        <v>0.21816096683069847</v>
      </c>
      <c r="M4">
        <f>IF(L4&gt;5,1,0)</f>
        <v>0</v>
      </c>
    </row>
    <row r="5" spans="1:13" x14ac:dyDescent="0.3">
      <c r="A5" s="5" t="s">
        <v>24</v>
      </c>
      <c r="B5" s="5">
        <v>0.40962770628406198</v>
      </c>
      <c r="K5" s="5" t="s">
        <v>23</v>
      </c>
      <c r="L5">
        <v>2.1834625769526533E-2</v>
      </c>
      <c r="M5">
        <f t="shared" ref="M5:M26" si="0">IF(L5&gt;5,1,0)</f>
        <v>0</v>
      </c>
    </row>
    <row r="6" spans="1:13" x14ac:dyDescent="0.3">
      <c r="A6" s="5" t="s">
        <v>24</v>
      </c>
      <c r="B6" s="5">
        <v>0.42022394617453201</v>
      </c>
      <c r="K6" s="5" t="s">
        <v>22</v>
      </c>
      <c r="L6">
        <v>2.0808699814656348</v>
      </c>
      <c r="M6">
        <f t="shared" si="0"/>
        <v>0</v>
      </c>
    </row>
    <row r="7" spans="1:13" x14ac:dyDescent="0.3">
      <c r="A7" s="5" t="s">
        <v>24</v>
      </c>
      <c r="B7" s="5">
        <v>0.31463117663643603</v>
      </c>
      <c r="K7" s="5" t="s">
        <v>21</v>
      </c>
      <c r="L7">
        <v>11.760602176793306</v>
      </c>
      <c r="M7">
        <f t="shared" si="0"/>
        <v>1</v>
      </c>
    </row>
    <row r="8" spans="1:13" x14ac:dyDescent="0.3">
      <c r="A8" s="5" t="s">
        <v>24</v>
      </c>
      <c r="B8" s="5">
        <v>0.29677525531574001</v>
      </c>
      <c r="K8" s="5" t="s">
        <v>20</v>
      </c>
      <c r="L8">
        <v>2.5361168369834171</v>
      </c>
      <c r="M8">
        <f t="shared" si="0"/>
        <v>0</v>
      </c>
    </row>
    <row r="9" spans="1:13" x14ac:dyDescent="0.3">
      <c r="A9" s="5" t="s">
        <v>24</v>
      </c>
      <c r="B9" s="5">
        <v>0.23660871017895099</v>
      </c>
      <c r="K9" s="5" t="s">
        <v>19</v>
      </c>
      <c r="L9">
        <v>1.6054956564207565</v>
      </c>
      <c r="M9">
        <f t="shared" si="0"/>
        <v>0</v>
      </c>
    </row>
    <row r="10" spans="1:13" x14ac:dyDescent="0.3">
      <c r="A10" s="5" t="s">
        <v>24</v>
      </c>
      <c r="B10" s="5">
        <v>0.21479337316750899</v>
      </c>
      <c r="K10" s="5" t="s">
        <v>18</v>
      </c>
      <c r="L10">
        <v>1.6529308830041289</v>
      </c>
      <c r="M10">
        <f t="shared" si="0"/>
        <v>0</v>
      </c>
    </row>
    <row r="11" spans="1:13" x14ac:dyDescent="0.3">
      <c r="A11" s="5" t="s">
        <v>24</v>
      </c>
      <c r="B11" s="5">
        <v>0.173315292299207</v>
      </c>
      <c r="K11" s="5" t="s">
        <v>17</v>
      </c>
      <c r="L11">
        <v>0.26336548183649139</v>
      </c>
      <c r="M11">
        <f t="shared" si="0"/>
        <v>0</v>
      </c>
    </row>
    <row r="12" spans="1:13" x14ac:dyDescent="0.3">
      <c r="A12" s="5" t="s">
        <v>24</v>
      </c>
      <c r="B12" s="5">
        <v>0.13956667327807701</v>
      </c>
      <c r="K12" s="8" t="s">
        <v>16</v>
      </c>
      <c r="L12">
        <v>12.263321943765796</v>
      </c>
      <c r="M12">
        <f t="shared" si="0"/>
        <v>1</v>
      </c>
    </row>
    <row r="13" spans="1:13" x14ac:dyDescent="0.3">
      <c r="A13" s="5" t="s">
        <v>24</v>
      </c>
      <c r="B13" s="5">
        <v>0.12287499283704199</v>
      </c>
      <c r="K13" s="8" t="s">
        <v>15</v>
      </c>
      <c r="L13">
        <v>1.0160896206915888</v>
      </c>
      <c r="M13">
        <f t="shared" si="0"/>
        <v>0</v>
      </c>
    </row>
    <row r="14" spans="1:13" x14ac:dyDescent="0.3">
      <c r="A14" s="5" t="s">
        <v>24</v>
      </c>
      <c r="B14" s="5">
        <v>0.112933640369011</v>
      </c>
      <c r="K14" s="8" t="s">
        <v>14</v>
      </c>
      <c r="L14">
        <v>1.8117254847187991</v>
      </c>
      <c r="M14">
        <f t="shared" si="0"/>
        <v>0</v>
      </c>
    </row>
    <row r="15" spans="1:13" x14ac:dyDescent="0.3">
      <c r="A15" s="5" t="s">
        <v>24</v>
      </c>
      <c r="B15" s="5">
        <v>0.109901884075103</v>
      </c>
      <c r="K15" s="8" t="s">
        <v>13</v>
      </c>
      <c r="L15">
        <v>0.74790645360336339</v>
      </c>
      <c r="M15">
        <f t="shared" si="0"/>
        <v>0</v>
      </c>
    </row>
    <row r="16" spans="1:13" x14ac:dyDescent="0.3">
      <c r="A16" s="5" t="s">
        <v>24</v>
      </c>
      <c r="B16" s="5">
        <v>0.10781194332369599</v>
      </c>
      <c r="K16" s="8" t="s">
        <v>12</v>
      </c>
      <c r="L16">
        <v>0.15172950941497534</v>
      </c>
      <c r="M16">
        <f t="shared" si="0"/>
        <v>0</v>
      </c>
    </row>
    <row r="17" spans="1:13" x14ac:dyDescent="0.3">
      <c r="A17" s="5" t="s">
        <v>24</v>
      </c>
      <c r="B17" s="5">
        <v>0.16074190786565401</v>
      </c>
      <c r="K17" s="8" t="s">
        <v>11</v>
      </c>
      <c r="L17">
        <v>1.6626986996707576</v>
      </c>
      <c r="M17">
        <f t="shared" si="0"/>
        <v>0</v>
      </c>
    </row>
    <row r="18" spans="1:13" x14ac:dyDescent="0.3">
      <c r="A18" s="5" t="s">
        <v>24</v>
      </c>
      <c r="B18" s="5">
        <v>0.15257541911344799</v>
      </c>
      <c r="K18" s="8" t="s">
        <v>9</v>
      </c>
      <c r="L18">
        <v>0.60593295074717757</v>
      </c>
      <c r="M18">
        <f t="shared" si="0"/>
        <v>0</v>
      </c>
    </row>
    <row r="19" spans="1:13" x14ac:dyDescent="0.3">
      <c r="A19" s="5" t="s">
        <v>24</v>
      </c>
      <c r="B19" s="5">
        <v>0.130785143710407</v>
      </c>
      <c r="K19" s="1" t="s">
        <v>8</v>
      </c>
      <c r="L19">
        <v>14.055396408222158</v>
      </c>
      <c r="M19">
        <f t="shared" si="0"/>
        <v>1</v>
      </c>
    </row>
    <row r="20" spans="1:13" x14ac:dyDescent="0.3">
      <c r="A20" s="5" t="s">
        <v>24</v>
      </c>
      <c r="B20" s="5">
        <v>0.153030293312066</v>
      </c>
      <c r="K20" s="1" t="s">
        <v>7</v>
      </c>
      <c r="L20">
        <v>0.13337354088502548</v>
      </c>
      <c r="M20">
        <f t="shared" si="0"/>
        <v>0</v>
      </c>
    </row>
    <row r="21" spans="1:13" x14ac:dyDescent="0.3">
      <c r="A21" s="5" t="s">
        <v>24</v>
      </c>
      <c r="B21" s="5">
        <v>0.17154977794245699</v>
      </c>
      <c r="K21" s="1" t="s">
        <v>6</v>
      </c>
      <c r="L21">
        <v>10.023713249667958</v>
      </c>
      <c r="M21">
        <f t="shared" si="0"/>
        <v>1</v>
      </c>
    </row>
    <row r="22" spans="1:13" x14ac:dyDescent="0.3">
      <c r="A22" s="5" t="s">
        <v>24</v>
      </c>
      <c r="B22" s="5">
        <v>0.24159622118531501</v>
      </c>
      <c r="K22" s="1" t="s">
        <v>5</v>
      </c>
      <c r="L22">
        <v>1.0045790976375988</v>
      </c>
      <c r="M22">
        <f t="shared" si="0"/>
        <v>0</v>
      </c>
    </row>
    <row r="23" spans="1:13" x14ac:dyDescent="0.3">
      <c r="A23" s="5" t="s">
        <v>24</v>
      </c>
      <c r="B23" s="5">
        <v>0.24553463468133599</v>
      </c>
      <c r="K23" s="1" t="s">
        <v>4</v>
      </c>
      <c r="L23">
        <v>5.7546146700151388E-2</v>
      </c>
      <c r="M23">
        <f t="shared" si="0"/>
        <v>0</v>
      </c>
    </row>
    <row r="24" spans="1:13" x14ac:dyDescent="0.3">
      <c r="A24" s="5" t="s">
        <v>24</v>
      </c>
      <c r="B24" s="5">
        <v>0.25481315678491501</v>
      </c>
      <c r="K24" s="1" t="s">
        <v>3</v>
      </c>
      <c r="L24">
        <v>0.5174070731061593</v>
      </c>
      <c r="M24">
        <f t="shared" si="0"/>
        <v>0</v>
      </c>
    </row>
    <row r="25" spans="1:13" x14ac:dyDescent="0.3">
      <c r="A25" s="5" t="s">
        <v>24</v>
      </c>
      <c r="B25" s="5">
        <v>0.20234751795175401</v>
      </c>
      <c r="K25" s="1" t="s">
        <v>2</v>
      </c>
      <c r="L25">
        <v>0.27450199679336346</v>
      </c>
      <c r="M25">
        <f t="shared" si="0"/>
        <v>0</v>
      </c>
    </row>
    <row r="26" spans="1:13" x14ac:dyDescent="0.3">
      <c r="A26" s="5" t="s">
        <v>24</v>
      </c>
      <c r="B26" s="5">
        <v>0.224281814146123</v>
      </c>
      <c r="C26">
        <f>+AVERAGE(B2:B26)</f>
        <v>0.21816096683069847</v>
      </c>
      <c r="K26" s="1" t="s">
        <v>1</v>
      </c>
      <c r="L26">
        <v>1.3078674111494442</v>
      </c>
      <c r="M26">
        <f t="shared" si="0"/>
        <v>0</v>
      </c>
    </row>
    <row r="27" spans="1:13" x14ac:dyDescent="0.3">
      <c r="A27" s="5" t="s">
        <v>23</v>
      </c>
      <c r="B27" s="5">
        <v>1.6977332551522901E-2</v>
      </c>
    </row>
    <row r="28" spans="1:13" x14ac:dyDescent="0.3">
      <c r="A28" s="5" t="s">
        <v>23</v>
      </c>
      <c r="B28" s="5">
        <v>1.6625977367037699E-2</v>
      </c>
    </row>
    <row r="29" spans="1:13" x14ac:dyDescent="0.3">
      <c r="A29" s="5" t="s">
        <v>23</v>
      </c>
      <c r="B29" s="5">
        <v>1.7647717028302298E-2</v>
      </c>
    </row>
    <row r="30" spans="1:13" x14ac:dyDescent="0.3">
      <c r="A30" s="5" t="s">
        <v>23</v>
      </c>
      <c r="B30" s="5">
        <v>1.5426332926551101E-2</v>
      </c>
    </row>
    <row r="31" spans="1:13" x14ac:dyDescent="0.3">
      <c r="A31" s="5" t="s">
        <v>23</v>
      </c>
      <c r="B31" s="5">
        <v>1.1708185297796899E-2</v>
      </c>
    </row>
    <row r="32" spans="1:13" x14ac:dyDescent="0.3">
      <c r="A32" s="5" t="s">
        <v>23</v>
      </c>
      <c r="B32" s="5">
        <v>1.1708185297796899E-2</v>
      </c>
    </row>
    <row r="33" spans="1:2" x14ac:dyDescent="0.3">
      <c r="A33" s="5" t="s">
        <v>23</v>
      </c>
      <c r="B33" s="5">
        <v>1.1708185297796899E-2</v>
      </c>
    </row>
    <row r="34" spans="1:2" x14ac:dyDescent="0.3">
      <c r="A34" s="5" t="s">
        <v>23</v>
      </c>
      <c r="B34" s="5">
        <v>1.1708185297796899E-2</v>
      </c>
    </row>
    <row r="35" spans="1:2" x14ac:dyDescent="0.3">
      <c r="A35" s="5" t="s">
        <v>23</v>
      </c>
      <c r="B35" s="5">
        <v>1.1708185297796899E-2</v>
      </c>
    </row>
    <row r="36" spans="1:2" x14ac:dyDescent="0.3">
      <c r="A36" s="5" t="s">
        <v>23</v>
      </c>
      <c r="B36" s="5">
        <v>3.02355853046632E-2</v>
      </c>
    </row>
    <row r="37" spans="1:2" x14ac:dyDescent="0.3">
      <c r="A37" s="5" t="s">
        <v>23</v>
      </c>
      <c r="B37" s="5">
        <v>2.8714386491811301E-2</v>
      </c>
    </row>
    <row r="38" spans="1:2" x14ac:dyDescent="0.3">
      <c r="A38" s="5" t="s">
        <v>23</v>
      </c>
      <c r="B38" s="5">
        <v>2.82109379327787E-2</v>
      </c>
    </row>
    <row r="39" spans="1:2" x14ac:dyDescent="0.3">
      <c r="A39" s="5" t="s">
        <v>23</v>
      </c>
      <c r="B39" s="5">
        <v>2.69750395725642E-2</v>
      </c>
    </row>
    <row r="40" spans="1:2" x14ac:dyDescent="0.3">
      <c r="A40" s="5" t="s">
        <v>23</v>
      </c>
      <c r="B40" s="5">
        <v>2.5634254430111102E-2</v>
      </c>
    </row>
    <row r="41" spans="1:2" x14ac:dyDescent="0.3">
      <c r="A41" s="5" t="s">
        <v>23</v>
      </c>
      <c r="B41" s="5">
        <v>2.3352010317981099E-2</v>
      </c>
    </row>
    <row r="42" spans="1:2" x14ac:dyDescent="0.3">
      <c r="A42" s="5" t="s">
        <v>23</v>
      </c>
      <c r="B42" s="5">
        <v>2.4331668079411499E-2</v>
      </c>
    </row>
    <row r="43" spans="1:2" x14ac:dyDescent="0.3">
      <c r="A43" s="5" t="s">
        <v>23</v>
      </c>
      <c r="B43" s="5">
        <v>2.5888286466584601E-2</v>
      </c>
    </row>
    <row r="44" spans="1:2" x14ac:dyDescent="0.3">
      <c r="A44" s="5" t="s">
        <v>23</v>
      </c>
      <c r="B44" s="5">
        <v>2.4095863519269501E-2</v>
      </c>
    </row>
    <row r="45" spans="1:2" x14ac:dyDescent="0.3">
      <c r="A45" s="5" t="s">
        <v>23</v>
      </c>
      <c r="B45" s="5">
        <v>2.3611649160140202E-2</v>
      </c>
    </row>
    <row r="46" spans="1:2" x14ac:dyDescent="0.3">
      <c r="A46" s="5" t="s">
        <v>23</v>
      </c>
      <c r="B46" s="5">
        <v>2.4928672664289601E-2</v>
      </c>
    </row>
    <row r="47" spans="1:2" x14ac:dyDescent="0.3">
      <c r="A47" s="5" t="s">
        <v>23</v>
      </c>
      <c r="B47" s="5">
        <v>2.6057673958963402E-2</v>
      </c>
    </row>
    <row r="48" spans="1:2" x14ac:dyDescent="0.3">
      <c r="A48" s="5" t="s">
        <v>23</v>
      </c>
      <c r="B48" s="5">
        <v>2.1084550096378499E-2</v>
      </c>
    </row>
    <row r="49" spans="1:3" x14ac:dyDescent="0.3">
      <c r="A49" s="5" t="s">
        <v>23</v>
      </c>
      <c r="B49" s="5">
        <v>2.82751450622328E-2</v>
      </c>
    </row>
    <row r="50" spans="1:3" x14ac:dyDescent="0.3">
      <c r="A50" s="5" t="s">
        <v>23</v>
      </c>
      <c r="B50" s="5">
        <v>2.8930604274353799E-2</v>
      </c>
    </row>
    <row r="51" spans="1:3" x14ac:dyDescent="0.3">
      <c r="A51" s="5" t="s">
        <v>23</v>
      </c>
      <c r="B51" s="5">
        <v>3.0321030544231301E-2</v>
      </c>
      <c r="C51">
        <f>+AVERAGE(B27:B51)</f>
        <v>2.1834625769526533E-2</v>
      </c>
    </row>
    <row r="52" spans="1:3" x14ac:dyDescent="0.3">
      <c r="A52" s="5" t="s">
        <v>22</v>
      </c>
      <c r="B52" s="5">
        <v>1.61213693911831</v>
      </c>
    </row>
    <row r="53" spans="1:3" x14ac:dyDescent="0.3">
      <c r="A53" s="5" t="s">
        <v>22</v>
      </c>
      <c r="B53" s="5">
        <v>2.09403813220323</v>
      </c>
    </row>
    <row r="54" spans="1:3" x14ac:dyDescent="0.3">
      <c r="A54" s="5" t="s">
        <v>22</v>
      </c>
      <c r="B54" s="5">
        <v>2.5319536641459601</v>
      </c>
    </row>
    <row r="55" spans="1:3" x14ac:dyDescent="0.3">
      <c r="A55" s="5" t="s">
        <v>22</v>
      </c>
      <c r="B55" s="5">
        <v>3.2500603824913101</v>
      </c>
    </row>
    <row r="56" spans="1:3" x14ac:dyDescent="0.3">
      <c r="A56" s="5" t="s">
        <v>22</v>
      </c>
      <c r="B56" s="5">
        <v>2.7240960044489899</v>
      </c>
    </row>
    <row r="57" spans="1:3" x14ac:dyDescent="0.3">
      <c r="A57" s="5" t="s">
        <v>22</v>
      </c>
      <c r="B57" s="5">
        <v>2.2978009286544698</v>
      </c>
    </row>
    <row r="58" spans="1:3" x14ac:dyDescent="0.3">
      <c r="A58" s="5" t="s">
        <v>22</v>
      </c>
      <c r="B58" s="5">
        <v>2.4099688520038201</v>
      </c>
    </row>
    <row r="59" spans="1:3" x14ac:dyDescent="0.3">
      <c r="A59" s="5" t="s">
        <v>22</v>
      </c>
      <c r="B59" s="5">
        <v>2.1627330675381198</v>
      </c>
    </row>
    <row r="60" spans="1:3" x14ac:dyDescent="0.3">
      <c r="A60" s="5" t="s">
        <v>22</v>
      </c>
      <c r="B60" s="5">
        <v>1.99042004970298</v>
      </c>
    </row>
    <row r="61" spans="1:3" x14ac:dyDescent="0.3">
      <c r="A61" s="5" t="s">
        <v>22</v>
      </c>
      <c r="B61" s="5">
        <v>1.7743735861555701</v>
      </c>
    </row>
    <row r="62" spans="1:3" x14ac:dyDescent="0.3">
      <c r="A62" s="5" t="s">
        <v>22</v>
      </c>
      <c r="B62" s="5">
        <v>1.40693436300273</v>
      </c>
    </row>
    <row r="63" spans="1:3" x14ac:dyDescent="0.3">
      <c r="A63" s="5" t="s">
        <v>22</v>
      </c>
      <c r="B63" s="5">
        <v>1.2243971747920299</v>
      </c>
    </row>
    <row r="64" spans="1:3" x14ac:dyDescent="0.3">
      <c r="A64" s="5" t="s">
        <v>22</v>
      </c>
      <c r="B64" s="5">
        <v>1.08410323361976</v>
      </c>
    </row>
    <row r="65" spans="1:3" x14ac:dyDescent="0.3">
      <c r="A65" s="5" t="s">
        <v>22</v>
      </c>
      <c r="B65" s="5">
        <v>1.1645917518464901</v>
      </c>
    </row>
    <row r="66" spans="1:3" x14ac:dyDescent="0.3">
      <c r="A66" s="5" t="s">
        <v>22</v>
      </c>
      <c r="B66" s="5">
        <v>1.0926769562674099</v>
      </c>
    </row>
    <row r="67" spans="1:3" x14ac:dyDescent="0.3">
      <c r="A67" s="5" t="s">
        <v>22</v>
      </c>
      <c r="B67" s="5">
        <v>1.70416576384897</v>
      </c>
    </row>
    <row r="68" spans="1:3" x14ac:dyDescent="0.3">
      <c r="A68" s="5" t="s">
        <v>22</v>
      </c>
      <c r="B68" s="5">
        <v>1.8364300486532199</v>
      </c>
    </row>
    <row r="69" spans="1:3" x14ac:dyDescent="0.3">
      <c r="A69" s="5" t="s">
        <v>22</v>
      </c>
      <c r="B69" s="5">
        <v>1.86578764806417</v>
      </c>
    </row>
    <row r="70" spans="1:3" x14ac:dyDescent="0.3">
      <c r="A70" s="5" t="s">
        <v>22</v>
      </c>
      <c r="B70" s="5">
        <v>1.9973413778281599</v>
      </c>
    </row>
    <row r="71" spans="1:3" x14ac:dyDescent="0.3">
      <c r="A71" s="5" t="s">
        <v>22</v>
      </c>
      <c r="B71" s="5">
        <v>2.2029717586425099</v>
      </c>
    </row>
    <row r="72" spans="1:3" x14ac:dyDescent="0.3">
      <c r="A72" s="5" t="s">
        <v>22</v>
      </c>
      <c r="B72" s="5">
        <v>2.5613347840285399</v>
      </c>
    </row>
    <row r="73" spans="1:3" x14ac:dyDescent="0.3">
      <c r="A73" s="5" t="s">
        <v>22</v>
      </c>
      <c r="B73" s="5">
        <v>2.70254419060708</v>
      </c>
    </row>
    <row r="74" spans="1:3" x14ac:dyDescent="0.3">
      <c r="A74" s="5" t="s">
        <v>22</v>
      </c>
      <c r="B74" s="5">
        <v>2.7354220776326001</v>
      </c>
    </row>
    <row r="75" spans="1:3" x14ac:dyDescent="0.3">
      <c r="A75" s="5" t="s">
        <v>22</v>
      </c>
      <c r="B75" s="5">
        <v>2.7605292901736398</v>
      </c>
    </row>
    <row r="76" spans="1:3" x14ac:dyDescent="0.3">
      <c r="A76" s="5" t="s">
        <v>22</v>
      </c>
      <c r="B76" s="5">
        <v>2.8349375111708102</v>
      </c>
      <c r="C76">
        <f>+AVERAGE(B52:B76)</f>
        <v>2.0808699814656348</v>
      </c>
    </row>
    <row r="77" spans="1:3" x14ac:dyDescent="0.3">
      <c r="A77" s="5" t="s">
        <v>21</v>
      </c>
      <c r="B77" s="5">
        <v>3.0908921852071898</v>
      </c>
    </row>
    <row r="78" spans="1:3" x14ac:dyDescent="0.3">
      <c r="A78" s="5" t="s">
        <v>21</v>
      </c>
      <c r="B78" s="5">
        <v>3.44333629274611</v>
      </c>
    </row>
    <row r="79" spans="1:3" x14ac:dyDescent="0.3">
      <c r="A79" s="5" t="s">
        <v>21</v>
      </c>
      <c r="B79" s="5">
        <v>7.8271176550582897</v>
      </c>
    </row>
    <row r="80" spans="1:3" x14ac:dyDescent="0.3">
      <c r="A80" s="5" t="s">
        <v>21</v>
      </c>
      <c r="B80" s="5">
        <v>9.9505232395590397</v>
      </c>
    </row>
    <row r="81" spans="1:2" x14ac:dyDescent="0.3">
      <c r="A81" s="5" t="s">
        <v>21</v>
      </c>
      <c r="B81" s="5">
        <v>11.1441946802014</v>
      </c>
    </row>
    <row r="82" spans="1:2" x14ac:dyDescent="0.3">
      <c r="A82" s="5" t="s">
        <v>21</v>
      </c>
      <c r="B82" s="5">
        <v>11.4496338247076</v>
      </c>
    </row>
    <row r="83" spans="1:2" x14ac:dyDescent="0.3">
      <c r="A83" s="5" t="s">
        <v>21</v>
      </c>
      <c r="B83" s="5">
        <v>12.439716566023099</v>
      </c>
    </row>
    <row r="84" spans="1:2" x14ac:dyDescent="0.3">
      <c r="A84" s="5" t="s">
        <v>21</v>
      </c>
      <c r="B84" s="5">
        <v>12.6198129936818</v>
      </c>
    </row>
    <row r="85" spans="1:2" x14ac:dyDescent="0.3">
      <c r="A85" s="5" t="s">
        <v>21</v>
      </c>
      <c r="B85" s="5">
        <v>11.4940758820625</v>
      </c>
    </row>
    <row r="86" spans="1:2" x14ac:dyDescent="0.3">
      <c r="A86" s="5" t="s">
        <v>21</v>
      </c>
      <c r="B86" s="5">
        <v>10.7798821237051</v>
      </c>
    </row>
    <row r="87" spans="1:2" x14ac:dyDescent="0.3">
      <c r="A87" s="5" t="s">
        <v>21</v>
      </c>
      <c r="B87" s="5">
        <v>10.386025874685201</v>
      </c>
    </row>
    <row r="88" spans="1:2" x14ac:dyDescent="0.3">
      <c r="A88" s="5" t="s">
        <v>21</v>
      </c>
      <c r="B88" s="5">
        <v>9.6702968330401493</v>
      </c>
    </row>
    <row r="89" spans="1:2" x14ac:dyDescent="0.3">
      <c r="A89" s="5" t="s">
        <v>21</v>
      </c>
      <c r="B89" s="5">
        <v>10.0118587523679</v>
      </c>
    </row>
    <row r="90" spans="1:2" x14ac:dyDescent="0.3">
      <c r="A90" s="5" t="s">
        <v>21</v>
      </c>
      <c r="B90" s="5">
        <v>10.0077092042108</v>
      </c>
    </row>
    <row r="91" spans="1:2" x14ac:dyDescent="0.3">
      <c r="A91" s="5" t="s">
        <v>21</v>
      </c>
      <c r="B91" s="5">
        <v>9.9416220391049208</v>
      </c>
    </row>
    <row r="92" spans="1:2" x14ac:dyDescent="0.3">
      <c r="A92" s="5" t="s">
        <v>21</v>
      </c>
      <c r="B92" s="5">
        <v>10.423390350686599</v>
      </c>
    </row>
    <row r="93" spans="1:2" x14ac:dyDescent="0.3">
      <c r="A93" s="5" t="s">
        <v>21</v>
      </c>
      <c r="B93" s="5">
        <v>11.1465467414657</v>
      </c>
    </row>
    <row r="94" spans="1:2" x14ac:dyDescent="0.3">
      <c r="A94" s="5" t="s">
        <v>21</v>
      </c>
      <c r="B94" s="5">
        <v>11.714499937425799</v>
      </c>
    </row>
    <row r="95" spans="1:2" x14ac:dyDescent="0.3">
      <c r="A95" s="5" t="s">
        <v>21</v>
      </c>
      <c r="B95" s="5">
        <v>12.8704296861911</v>
      </c>
    </row>
    <row r="96" spans="1:2" x14ac:dyDescent="0.3">
      <c r="A96" s="5" t="s">
        <v>21</v>
      </c>
      <c r="B96" s="5">
        <v>13.8075410269222</v>
      </c>
    </row>
    <row r="97" spans="1:3" x14ac:dyDescent="0.3">
      <c r="A97" s="5" t="s">
        <v>21</v>
      </c>
      <c r="B97" s="5">
        <v>14.675137976435799</v>
      </c>
    </row>
    <row r="98" spans="1:3" x14ac:dyDescent="0.3">
      <c r="A98" s="5" t="s">
        <v>21</v>
      </c>
      <c r="B98" s="5">
        <v>17.821386309360602</v>
      </c>
    </row>
    <row r="99" spans="1:3" x14ac:dyDescent="0.3">
      <c r="A99" s="5" t="s">
        <v>21</v>
      </c>
      <c r="B99" s="5">
        <v>19.034167660644702</v>
      </c>
    </row>
    <row r="100" spans="1:3" x14ac:dyDescent="0.3">
      <c r="A100" s="5" t="s">
        <v>21</v>
      </c>
      <c r="B100" s="5">
        <v>19.144583788076201</v>
      </c>
    </row>
    <row r="101" spans="1:3" x14ac:dyDescent="0.3">
      <c r="A101" s="5" t="s">
        <v>21</v>
      </c>
      <c r="B101" s="5">
        <v>19.120672796262902</v>
      </c>
      <c r="C101">
        <f>+AVERAGE(B77:B101)</f>
        <v>11.760602176793306</v>
      </c>
    </row>
    <row r="102" spans="1:3" x14ac:dyDescent="0.3">
      <c r="A102" s="5" t="s">
        <v>20</v>
      </c>
      <c r="B102" s="5">
        <v>1.01403249008326</v>
      </c>
    </row>
    <row r="103" spans="1:3" x14ac:dyDescent="0.3">
      <c r="A103" s="5" t="s">
        <v>20</v>
      </c>
      <c r="B103" s="5">
        <v>1.2745527335917499</v>
      </c>
    </row>
    <row r="104" spans="1:3" x14ac:dyDescent="0.3">
      <c r="A104" s="5" t="s">
        <v>20</v>
      </c>
      <c r="B104" s="5">
        <v>1.3605413963708599</v>
      </c>
    </row>
    <row r="105" spans="1:3" x14ac:dyDescent="0.3">
      <c r="A105" s="5" t="s">
        <v>20</v>
      </c>
      <c r="B105" s="5">
        <v>2.1753885590202202</v>
      </c>
    </row>
    <row r="106" spans="1:3" x14ac:dyDescent="0.3">
      <c r="A106" s="5" t="s">
        <v>20</v>
      </c>
      <c r="B106" s="5">
        <v>2.4237628054568701</v>
      </c>
    </row>
    <row r="107" spans="1:3" x14ac:dyDescent="0.3">
      <c r="A107" s="5" t="s">
        <v>20</v>
      </c>
      <c r="B107" s="5">
        <v>2.4784806585480799</v>
      </c>
    </row>
    <row r="108" spans="1:3" x14ac:dyDescent="0.3">
      <c r="A108" s="5" t="s">
        <v>20</v>
      </c>
      <c r="B108" s="5">
        <v>2.6015603809955898</v>
      </c>
    </row>
    <row r="109" spans="1:3" x14ac:dyDescent="0.3">
      <c r="A109" s="5" t="s">
        <v>20</v>
      </c>
      <c r="B109" s="5">
        <v>2.4961983468845701</v>
      </c>
    </row>
    <row r="110" spans="1:3" x14ac:dyDescent="0.3">
      <c r="A110" s="5" t="s">
        <v>20</v>
      </c>
      <c r="B110" s="5">
        <v>2.3315087170109599</v>
      </c>
    </row>
    <row r="111" spans="1:3" x14ac:dyDescent="0.3">
      <c r="A111" s="5" t="s">
        <v>20</v>
      </c>
      <c r="B111" s="5">
        <v>2.42656562220423</v>
      </c>
    </row>
    <row r="112" spans="1:3" x14ac:dyDescent="0.3">
      <c r="A112" s="5" t="s">
        <v>20</v>
      </c>
      <c r="B112" s="5">
        <v>2.0596361026183798</v>
      </c>
    </row>
    <row r="113" spans="1:3" x14ac:dyDescent="0.3">
      <c r="A113" s="5" t="s">
        <v>20</v>
      </c>
      <c r="B113" s="5">
        <v>1.9682477739466799</v>
      </c>
    </row>
    <row r="114" spans="1:3" x14ac:dyDescent="0.3">
      <c r="A114" s="5" t="s">
        <v>20</v>
      </c>
      <c r="B114" s="5">
        <v>1.9166918489656</v>
      </c>
    </row>
    <row r="115" spans="1:3" x14ac:dyDescent="0.3">
      <c r="A115" s="5" t="s">
        <v>20</v>
      </c>
      <c r="B115" s="5">
        <v>1.80619576724803</v>
      </c>
    </row>
    <row r="116" spans="1:3" x14ac:dyDescent="0.3">
      <c r="A116" s="5" t="s">
        <v>20</v>
      </c>
      <c r="B116" s="5">
        <v>1.87295707038479</v>
      </c>
    </row>
    <row r="117" spans="1:3" x14ac:dyDescent="0.3">
      <c r="A117" s="5" t="s">
        <v>20</v>
      </c>
      <c r="B117" s="5">
        <v>2.2109148175279998</v>
      </c>
    </row>
    <row r="118" spans="1:3" x14ac:dyDescent="0.3">
      <c r="A118" s="5" t="s">
        <v>20</v>
      </c>
      <c r="B118" s="5">
        <v>2.6369300778272402</v>
      </c>
    </row>
    <row r="119" spans="1:3" x14ac:dyDescent="0.3">
      <c r="A119" s="5" t="s">
        <v>20</v>
      </c>
      <c r="B119" s="5">
        <v>2.76495197157249</v>
      </c>
    </row>
    <row r="120" spans="1:3" x14ac:dyDescent="0.3">
      <c r="A120" s="5" t="s">
        <v>20</v>
      </c>
      <c r="B120" s="5">
        <v>2.90745049971046</v>
      </c>
    </row>
    <row r="121" spans="1:3" x14ac:dyDescent="0.3">
      <c r="A121" s="5" t="s">
        <v>20</v>
      </c>
      <c r="B121" s="5">
        <v>3.0544688322776801</v>
      </c>
    </row>
    <row r="122" spans="1:3" x14ac:dyDescent="0.3">
      <c r="A122" s="5" t="s">
        <v>20</v>
      </c>
      <c r="B122" s="5">
        <v>3.9228468548330602</v>
      </c>
    </row>
    <row r="123" spans="1:3" x14ac:dyDescent="0.3">
      <c r="A123" s="5" t="s">
        <v>20</v>
      </c>
      <c r="B123" s="5">
        <v>4.1826148147437996</v>
      </c>
    </row>
    <row r="124" spans="1:3" x14ac:dyDescent="0.3">
      <c r="A124" s="5" t="s">
        <v>20</v>
      </c>
      <c r="B124" s="5">
        <v>4.1895332462470201</v>
      </c>
    </row>
    <row r="125" spans="1:3" x14ac:dyDescent="0.3">
      <c r="A125" s="5" t="s">
        <v>20</v>
      </c>
      <c r="B125" s="5">
        <v>3.6833231394664598</v>
      </c>
    </row>
    <row r="126" spans="1:3" x14ac:dyDescent="0.3">
      <c r="A126" s="5" t="s">
        <v>20</v>
      </c>
      <c r="B126" s="5">
        <v>3.6435663970493399</v>
      </c>
      <c r="C126">
        <f>+AVERAGE(B102:B126)</f>
        <v>2.5361168369834171</v>
      </c>
    </row>
    <row r="127" spans="1:3" x14ac:dyDescent="0.3">
      <c r="A127" s="5" t="s">
        <v>19</v>
      </c>
      <c r="B127" s="5">
        <v>1.3869307553360199</v>
      </c>
    </row>
    <row r="128" spans="1:3" x14ac:dyDescent="0.3">
      <c r="A128" s="5" t="s">
        <v>19</v>
      </c>
      <c r="B128" s="5">
        <v>1.4476439380523001</v>
      </c>
    </row>
    <row r="129" spans="1:2" x14ac:dyDescent="0.3">
      <c r="A129" s="5" t="s">
        <v>19</v>
      </c>
      <c r="B129" s="5">
        <v>1.28772179077061</v>
      </c>
    </row>
    <row r="130" spans="1:2" x14ac:dyDescent="0.3">
      <c r="A130" s="5" t="s">
        <v>19</v>
      </c>
      <c r="B130" s="5">
        <v>1.47877535639654</v>
      </c>
    </row>
    <row r="131" spans="1:2" x14ac:dyDescent="0.3">
      <c r="A131" s="5" t="s">
        <v>19</v>
      </c>
      <c r="B131" s="5">
        <v>1.6964738424159</v>
      </c>
    </row>
    <row r="132" spans="1:2" x14ac:dyDescent="0.3">
      <c r="A132" s="5" t="s">
        <v>19</v>
      </c>
      <c r="B132" s="5">
        <v>1.89331588408079</v>
      </c>
    </row>
    <row r="133" spans="1:2" x14ac:dyDescent="0.3">
      <c r="A133" s="5" t="s">
        <v>19</v>
      </c>
      <c r="B133" s="5">
        <v>2.0729107456208</v>
      </c>
    </row>
    <row r="134" spans="1:2" x14ac:dyDescent="0.3">
      <c r="A134" s="5" t="s">
        <v>19</v>
      </c>
      <c r="B134" s="5">
        <v>2.08553802579695</v>
      </c>
    </row>
    <row r="135" spans="1:2" x14ac:dyDescent="0.3">
      <c r="A135" s="5" t="s">
        <v>19</v>
      </c>
      <c r="B135" s="5">
        <v>2.02706961928358</v>
      </c>
    </row>
    <row r="136" spans="1:2" x14ac:dyDescent="0.3">
      <c r="A136" s="5" t="s">
        <v>19</v>
      </c>
      <c r="B136" s="5">
        <v>1.99357606247792</v>
      </c>
    </row>
    <row r="137" spans="1:2" x14ac:dyDescent="0.3">
      <c r="A137" s="5" t="s">
        <v>19</v>
      </c>
      <c r="B137" s="5">
        <v>1.7175839408360101</v>
      </c>
    </row>
    <row r="138" spans="1:2" x14ac:dyDescent="0.3">
      <c r="A138" s="5" t="s">
        <v>19</v>
      </c>
      <c r="B138" s="5">
        <v>1.5701760874845201</v>
      </c>
    </row>
    <row r="139" spans="1:2" x14ac:dyDescent="0.3">
      <c r="A139" s="5" t="s">
        <v>19</v>
      </c>
      <c r="B139" s="5">
        <v>1.47367128502939</v>
      </c>
    </row>
    <row r="140" spans="1:2" x14ac:dyDescent="0.3">
      <c r="A140" s="5" t="s">
        <v>19</v>
      </c>
      <c r="B140" s="5">
        <v>1.36617622391414</v>
      </c>
    </row>
    <row r="141" spans="1:2" x14ac:dyDescent="0.3">
      <c r="A141" s="5" t="s">
        <v>19</v>
      </c>
      <c r="B141" s="5">
        <v>1.33950365096341</v>
      </c>
    </row>
    <row r="142" spans="1:2" x14ac:dyDescent="0.3">
      <c r="A142" s="5" t="s">
        <v>19</v>
      </c>
      <c r="B142" s="5">
        <v>1.4567784037106599</v>
      </c>
    </row>
    <row r="143" spans="1:2" x14ac:dyDescent="0.3">
      <c r="A143" s="5" t="s">
        <v>19</v>
      </c>
      <c r="B143" s="5">
        <v>1.53367517529191</v>
      </c>
    </row>
    <row r="144" spans="1:2" x14ac:dyDescent="0.3">
      <c r="A144" s="5" t="s">
        <v>19</v>
      </c>
      <c r="B144" s="5">
        <v>1.47518841959064</v>
      </c>
    </row>
    <row r="145" spans="1:3" x14ac:dyDescent="0.3">
      <c r="A145" s="5" t="s">
        <v>19</v>
      </c>
      <c r="B145" s="5">
        <v>1.45298846911572</v>
      </c>
    </row>
    <row r="146" spans="1:3" x14ac:dyDescent="0.3">
      <c r="A146" s="5" t="s">
        <v>19</v>
      </c>
      <c r="B146" s="5">
        <v>1.4646873478317</v>
      </c>
    </row>
    <row r="147" spans="1:3" x14ac:dyDescent="0.3">
      <c r="A147" s="5" t="s">
        <v>19</v>
      </c>
      <c r="B147" s="5">
        <v>1.44323462669192</v>
      </c>
    </row>
    <row r="148" spans="1:3" x14ac:dyDescent="0.3">
      <c r="A148" s="5" t="s">
        <v>19</v>
      </c>
      <c r="B148" s="5">
        <v>1.5941080359779201</v>
      </c>
    </row>
    <row r="149" spans="1:3" x14ac:dyDescent="0.3">
      <c r="A149" s="5" t="s">
        <v>19</v>
      </c>
      <c r="B149" s="5">
        <v>1.5080554462923901</v>
      </c>
    </row>
    <row r="150" spans="1:3" x14ac:dyDescent="0.3">
      <c r="A150" s="5" t="s">
        <v>19</v>
      </c>
      <c r="B150" s="5">
        <v>1.66573125648714</v>
      </c>
    </row>
    <row r="151" spans="1:3" x14ac:dyDescent="0.3">
      <c r="A151" s="5" t="s">
        <v>19</v>
      </c>
      <c r="B151" s="5">
        <v>1.70587702107004</v>
      </c>
      <c r="C151">
        <f>+AVERAGE(B127:B151)</f>
        <v>1.6054956564207565</v>
      </c>
    </row>
    <row r="152" spans="1:3" x14ac:dyDescent="0.3">
      <c r="A152" s="5" t="s">
        <v>18</v>
      </c>
      <c r="B152" s="5">
        <v>1.7130199979486</v>
      </c>
    </row>
    <row r="153" spans="1:3" x14ac:dyDescent="0.3">
      <c r="A153" s="5" t="s">
        <v>18</v>
      </c>
      <c r="B153" s="5">
        <v>1.64787181908521</v>
      </c>
    </row>
    <row r="154" spans="1:3" x14ac:dyDescent="0.3">
      <c r="A154" s="5" t="s">
        <v>18</v>
      </c>
      <c r="B154" s="5">
        <v>1.3715456499773999</v>
      </c>
    </row>
    <row r="155" spans="1:3" x14ac:dyDescent="0.3">
      <c r="A155" s="5" t="s">
        <v>18</v>
      </c>
      <c r="B155" s="5">
        <v>1.4236740138902999</v>
      </c>
    </row>
    <row r="156" spans="1:3" x14ac:dyDescent="0.3">
      <c r="A156" s="5" t="s">
        <v>18</v>
      </c>
      <c r="B156" s="5">
        <v>1.3715082491051001</v>
      </c>
    </row>
    <row r="157" spans="1:3" x14ac:dyDescent="0.3">
      <c r="A157" s="5" t="s">
        <v>18</v>
      </c>
      <c r="B157" s="5">
        <v>1.5022118479548701</v>
      </c>
    </row>
    <row r="158" spans="1:3" x14ac:dyDescent="0.3">
      <c r="A158" s="5" t="s">
        <v>18</v>
      </c>
      <c r="B158" s="5">
        <v>2.5019676839782998</v>
      </c>
    </row>
    <row r="159" spans="1:3" x14ac:dyDescent="0.3">
      <c r="A159" s="5" t="s">
        <v>18</v>
      </c>
      <c r="B159" s="5">
        <v>1.90848171580223</v>
      </c>
    </row>
    <row r="160" spans="1:3" x14ac:dyDescent="0.3">
      <c r="A160" s="5" t="s">
        <v>18</v>
      </c>
      <c r="B160" s="5">
        <v>1.47319137438082</v>
      </c>
    </row>
    <row r="161" spans="1:3" x14ac:dyDescent="0.3">
      <c r="A161" s="5" t="s">
        <v>18</v>
      </c>
      <c r="B161" s="5">
        <v>1.68775418813224</v>
      </c>
    </row>
    <row r="162" spans="1:3" x14ac:dyDescent="0.3">
      <c r="A162" s="5" t="s">
        <v>18</v>
      </c>
      <c r="B162" s="5">
        <v>1.5035644619439099</v>
      </c>
    </row>
    <row r="163" spans="1:3" x14ac:dyDescent="0.3">
      <c r="A163" s="5" t="s">
        <v>18</v>
      </c>
      <c r="B163" s="5">
        <v>1.60168910920454</v>
      </c>
    </row>
    <row r="164" spans="1:3" x14ac:dyDescent="0.3">
      <c r="A164" s="5" t="s">
        <v>18</v>
      </c>
      <c r="B164" s="5">
        <v>1.90581120159021</v>
      </c>
    </row>
    <row r="165" spans="1:3" x14ac:dyDescent="0.3">
      <c r="A165" s="5" t="s">
        <v>18</v>
      </c>
      <c r="B165" s="5">
        <v>1.6188619067015999</v>
      </c>
    </row>
    <row r="166" spans="1:3" x14ac:dyDescent="0.3">
      <c r="A166" s="5" t="s">
        <v>18</v>
      </c>
      <c r="B166" s="5">
        <v>1.2547448787933599</v>
      </c>
    </row>
    <row r="167" spans="1:3" x14ac:dyDescent="0.3">
      <c r="A167" s="5" t="s">
        <v>18</v>
      </c>
      <c r="B167" s="5">
        <v>1.52890986973149</v>
      </c>
    </row>
    <row r="168" spans="1:3" x14ac:dyDescent="0.3">
      <c r="A168" s="5" t="s">
        <v>18</v>
      </c>
      <c r="B168" s="5">
        <v>1.8200716435494499</v>
      </c>
    </row>
    <row r="169" spans="1:3" x14ac:dyDescent="0.3">
      <c r="A169" s="5" t="s">
        <v>18</v>
      </c>
      <c r="B169" s="5">
        <v>1.80546417006755</v>
      </c>
    </row>
    <row r="170" spans="1:3" x14ac:dyDescent="0.3">
      <c r="A170" s="5" t="s">
        <v>18</v>
      </c>
      <c r="B170" s="5">
        <v>1.6976068483314299</v>
      </c>
    </row>
    <row r="171" spans="1:3" x14ac:dyDescent="0.3">
      <c r="A171" s="5" t="s">
        <v>18</v>
      </c>
      <c r="B171" s="5">
        <v>1.7560562722305499</v>
      </c>
    </row>
    <row r="172" spans="1:3" x14ac:dyDescent="0.3">
      <c r="A172" s="5" t="s">
        <v>18</v>
      </c>
      <c r="B172" s="5">
        <v>1.64741492260679</v>
      </c>
    </row>
    <row r="173" spans="1:3" x14ac:dyDescent="0.3">
      <c r="A173" s="5" t="s">
        <v>18</v>
      </c>
      <c r="B173" s="5">
        <v>1.4652587228468399</v>
      </c>
    </row>
    <row r="174" spans="1:3" x14ac:dyDescent="0.3">
      <c r="A174" s="5" t="s">
        <v>18</v>
      </c>
      <c r="B174" s="5">
        <v>1.41178944682987</v>
      </c>
    </row>
    <row r="175" spans="1:3" x14ac:dyDescent="0.3">
      <c r="A175" s="5" t="s">
        <v>18</v>
      </c>
      <c r="B175" s="5">
        <v>1.7294797369864101</v>
      </c>
    </row>
    <row r="176" spans="1:3" x14ac:dyDescent="0.3">
      <c r="A176" s="5" t="s">
        <v>18</v>
      </c>
      <c r="B176" s="5">
        <v>1.97532234343415</v>
      </c>
      <c r="C176">
        <f>+AVERAGE(B152:B176)</f>
        <v>1.6529308830041289</v>
      </c>
    </row>
    <row r="177" spans="1:2" x14ac:dyDescent="0.3">
      <c r="A177" s="5" t="s">
        <v>17</v>
      </c>
      <c r="B177" s="5">
        <v>0.26496864248760699</v>
      </c>
    </row>
    <row r="178" spans="1:2" x14ac:dyDescent="0.3">
      <c r="A178" s="5" t="s">
        <v>17</v>
      </c>
      <c r="B178" s="5">
        <v>0.26496864248760699</v>
      </c>
    </row>
    <row r="179" spans="1:2" x14ac:dyDescent="0.3">
      <c r="A179" s="5" t="s">
        <v>17</v>
      </c>
      <c r="B179" s="5">
        <v>0.26496864248760699</v>
      </c>
    </row>
    <row r="180" spans="1:2" x14ac:dyDescent="0.3">
      <c r="A180" s="5" t="s">
        <v>17</v>
      </c>
      <c r="B180" s="5">
        <v>0.51266102464807894</v>
      </c>
    </row>
    <row r="181" spans="1:2" x14ac:dyDescent="0.3">
      <c r="A181" s="5" t="s">
        <v>17</v>
      </c>
      <c r="B181" s="5">
        <v>0.51070058635998505</v>
      </c>
    </row>
    <row r="182" spans="1:2" x14ac:dyDescent="0.3">
      <c r="A182" s="5" t="s">
        <v>17</v>
      </c>
      <c r="B182" s="5">
        <v>0.44198018204895001</v>
      </c>
    </row>
    <row r="183" spans="1:2" x14ac:dyDescent="0.3">
      <c r="A183" s="5" t="s">
        <v>17</v>
      </c>
      <c r="B183" s="5">
        <v>0.45049756636965799</v>
      </c>
    </row>
    <row r="184" spans="1:2" x14ac:dyDescent="0.3">
      <c r="A184" s="5" t="s">
        <v>17</v>
      </c>
      <c r="B184" s="5">
        <v>0.40539927791178498</v>
      </c>
    </row>
    <row r="185" spans="1:2" x14ac:dyDescent="0.3">
      <c r="A185" s="5" t="s">
        <v>17</v>
      </c>
      <c r="B185" s="5">
        <v>0.34676535429828698</v>
      </c>
    </row>
    <row r="186" spans="1:2" x14ac:dyDescent="0.3">
      <c r="A186" s="5" t="s">
        <v>17</v>
      </c>
      <c r="B186" s="5">
        <v>0.30901312831289002</v>
      </c>
    </row>
    <row r="187" spans="1:2" x14ac:dyDescent="0.3">
      <c r="A187" s="5" t="s">
        <v>17</v>
      </c>
      <c r="B187" s="5">
        <v>0.29771138171844802</v>
      </c>
    </row>
    <row r="188" spans="1:2" x14ac:dyDescent="0.3">
      <c r="A188" s="5" t="s">
        <v>17</v>
      </c>
      <c r="B188" s="5">
        <v>0.25591943267140499</v>
      </c>
    </row>
    <row r="189" spans="1:2" x14ac:dyDescent="0.3">
      <c r="A189" s="5" t="s">
        <v>17</v>
      </c>
      <c r="B189" s="5">
        <v>0.168907169778097</v>
      </c>
    </row>
    <row r="190" spans="1:2" x14ac:dyDescent="0.3">
      <c r="A190" s="5" t="s">
        <v>17</v>
      </c>
      <c r="B190" s="5">
        <v>0.16115472902649799</v>
      </c>
    </row>
    <row r="191" spans="1:2" x14ac:dyDescent="0.3">
      <c r="A191" s="5" t="s">
        <v>17</v>
      </c>
      <c r="B191" s="5">
        <v>0.15908431079509</v>
      </c>
    </row>
    <row r="192" spans="1:2" x14ac:dyDescent="0.3">
      <c r="A192" s="5" t="s">
        <v>17</v>
      </c>
      <c r="B192" s="5">
        <v>0.15649539689952299</v>
      </c>
    </row>
    <row r="193" spans="1:3" x14ac:dyDescent="0.3">
      <c r="A193" s="5" t="s">
        <v>17</v>
      </c>
      <c r="B193" s="5">
        <v>0.157345013875127</v>
      </c>
    </row>
    <row r="194" spans="1:3" x14ac:dyDescent="0.3">
      <c r="A194" s="5" t="s">
        <v>17</v>
      </c>
      <c r="B194" s="5">
        <v>0.168263788380593</v>
      </c>
    </row>
    <row r="195" spans="1:3" x14ac:dyDescent="0.3">
      <c r="A195" s="5" t="s">
        <v>17</v>
      </c>
      <c r="B195" s="5">
        <v>0.17439503617805899</v>
      </c>
    </row>
    <row r="196" spans="1:3" x14ac:dyDescent="0.3">
      <c r="A196" s="5" t="s">
        <v>17</v>
      </c>
      <c r="B196" s="5">
        <v>0.18043640854809401</v>
      </c>
    </row>
    <row r="197" spans="1:3" x14ac:dyDescent="0.3">
      <c r="A197" s="5" t="s">
        <v>17</v>
      </c>
      <c r="B197" s="5">
        <v>0.20746587122773899</v>
      </c>
    </row>
    <row r="198" spans="1:3" x14ac:dyDescent="0.3">
      <c r="A198" s="5" t="s">
        <v>17</v>
      </c>
      <c r="B198" s="5">
        <v>0.207005780162034</v>
      </c>
    </row>
    <row r="199" spans="1:3" x14ac:dyDescent="0.3">
      <c r="A199" s="5" t="s">
        <v>17</v>
      </c>
      <c r="B199" s="5">
        <v>0.17730460344764901</v>
      </c>
    </row>
    <row r="200" spans="1:3" x14ac:dyDescent="0.3">
      <c r="A200" s="5" t="s">
        <v>17</v>
      </c>
      <c r="B200" s="5">
        <v>0.17259335270453299</v>
      </c>
    </row>
    <row r="201" spans="1:3" x14ac:dyDescent="0.3">
      <c r="A201" s="5" t="s">
        <v>17</v>
      </c>
      <c r="B201" s="5">
        <v>0.16813172308693999</v>
      </c>
      <c r="C201">
        <f>+AVERAGE(B177:B201)</f>
        <v>0.26336548183649139</v>
      </c>
    </row>
    <row r="202" spans="1:3" x14ac:dyDescent="0.3">
      <c r="A202" s="4" t="s">
        <v>16</v>
      </c>
      <c r="B202" s="4">
        <v>16.6770344143812</v>
      </c>
    </row>
    <row r="203" spans="1:3" x14ac:dyDescent="0.3">
      <c r="A203" s="4" t="s">
        <v>16</v>
      </c>
      <c r="B203" s="4">
        <v>17.228109591070101</v>
      </c>
    </row>
    <row r="204" spans="1:3" x14ac:dyDescent="0.3">
      <c r="A204" s="4" t="s">
        <v>16</v>
      </c>
      <c r="B204" s="4">
        <v>16.247386348192698</v>
      </c>
    </row>
    <row r="205" spans="1:3" x14ac:dyDescent="0.3">
      <c r="A205" s="4" t="s">
        <v>16</v>
      </c>
      <c r="B205" s="4">
        <v>15.3187296457995</v>
      </c>
    </row>
    <row r="206" spans="1:3" x14ac:dyDescent="0.3">
      <c r="A206" s="4" t="s">
        <v>16</v>
      </c>
      <c r="B206" s="4">
        <v>15.670684644424</v>
      </c>
    </row>
    <row r="207" spans="1:3" x14ac:dyDescent="0.3">
      <c r="A207" s="4" t="s">
        <v>16</v>
      </c>
      <c r="B207" s="4">
        <v>15.6201731609198</v>
      </c>
    </row>
    <row r="208" spans="1:3" x14ac:dyDescent="0.3">
      <c r="A208" s="4" t="s">
        <v>16</v>
      </c>
      <c r="B208" s="4">
        <v>14.856708869986299</v>
      </c>
    </row>
    <row r="209" spans="1:2" x14ac:dyDescent="0.3">
      <c r="A209" s="4" t="s">
        <v>16</v>
      </c>
      <c r="B209" s="4">
        <v>13.205255054815799</v>
      </c>
    </row>
    <row r="210" spans="1:2" x14ac:dyDescent="0.3">
      <c r="A210" s="4" t="s">
        <v>16</v>
      </c>
      <c r="B210" s="4">
        <v>14.0708275191369</v>
      </c>
    </row>
    <row r="211" spans="1:2" x14ac:dyDescent="0.3">
      <c r="A211" s="4" t="s">
        <v>16</v>
      </c>
      <c r="B211" s="4">
        <v>13.9247890307559</v>
      </c>
    </row>
    <row r="212" spans="1:2" x14ac:dyDescent="0.3">
      <c r="A212" s="4" t="s">
        <v>16</v>
      </c>
      <c r="B212" s="4">
        <v>13.1267801276088</v>
      </c>
    </row>
    <row r="213" spans="1:2" x14ac:dyDescent="0.3">
      <c r="A213" s="4" t="s">
        <v>16</v>
      </c>
      <c r="B213" s="4">
        <v>11.963216583924</v>
      </c>
    </row>
    <row r="214" spans="1:2" x14ac:dyDescent="0.3">
      <c r="A214" s="4" t="s">
        <v>16</v>
      </c>
      <c r="B214" s="4">
        <v>11.5932923255515</v>
      </c>
    </row>
    <row r="215" spans="1:2" x14ac:dyDescent="0.3">
      <c r="A215" s="4" t="s">
        <v>16</v>
      </c>
      <c r="B215" s="4">
        <v>10.016797120489199</v>
      </c>
    </row>
    <row r="216" spans="1:2" x14ac:dyDescent="0.3">
      <c r="A216" s="4" t="s">
        <v>16</v>
      </c>
      <c r="B216" s="4">
        <v>10.687221560271199</v>
      </c>
    </row>
    <row r="217" spans="1:2" x14ac:dyDescent="0.3">
      <c r="A217" s="4" t="s">
        <v>16</v>
      </c>
      <c r="B217" s="4">
        <v>11.254090414410401</v>
      </c>
    </row>
    <row r="218" spans="1:2" x14ac:dyDescent="0.3">
      <c r="A218" s="4" t="s">
        <v>16</v>
      </c>
      <c r="B218" s="4">
        <v>10.893696292584499</v>
      </c>
    </row>
    <row r="219" spans="1:2" x14ac:dyDescent="0.3">
      <c r="A219" s="4" t="s">
        <v>16</v>
      </c>
      <c r="B219" s="4">
        <v>9.8943722440792392</v>
      </c>
    </row>
    <row r="220" spans="1:2" x14ac:dyDescent="0.3">
      <c r="A220" s="4" t="s">
        <v>16</v>
      </c>
      <c r="B220" s="4">
        <v>9.4815128324467501</v>
      </c>
    </row>
    <row r="221" spans="1:2" x14ac:dyDescent="0.3">
      <c r="A221" s="4" t="s">
        <v>16</v>
      </c>
      <c r="B221" s="4">
        <v>9.4501231565374493</v>
      </c>
    </row>
    <row r="222" spans="1:2" x14ac:dyDescent="0.3">
      <c r="A222" s="4" t="s">
        <v>16</v>
      </c>
      <c r="B222" s="4">
        <v>9.6184180074696197</v>
      </c>
    </row>
    <row r="223" spans="1:2" x14ac:dyDescent="0.3">
      <c r="A223" s="4" t="s">
        <v>16</v>
      </c>
      <c r="B223" s="4">
        <v>9.5294859802489693</v>
      </c>
    </row>
    <row r="224" spans="1:2" x14ac:dyDescent="0.3">
      <c r="A224" s="4" t="s">
        <v>16</v>
      </c>
      <c r="B224" s="4">
        <v>9.1771702523111305</v>
      </c>
    </row>
    <row r="225" spans="1:3" x14ac:dyDescent="0.3">
      <c r="A225" s="4" t="s">
        <v>16</v>
      </c>
      <c r="B225" s="4">
        <v>8.6677801890603892</v>
      </c>
    </row>
    <row r="226" spans="1:3" x14ac:dyDescent="0.3">
      <c r="A226" s="4" t="s">
        <v>16</v>
      </c>
      <c r="B226" s="4">
        <v>8.4093932276693906</v>
      </c>
      <c r="C226">
        <f>+AVERAGE(B202:B226)</f>
        <v>12.263321943765796</v>
      </c>
    </row>
    <row r="227" spans="1:3" x14ac:dyDescent="0.3">
      <c r="A227" s="4" t="s">
        <v>15</v>
      </c>
      <c r="B227" s="4">
        <v>0.47279777395235001</v>
      </c>
    </row>
    <row r="228" spans="1:3" x14ac:dyDescent="0.3">
      <c r="A228" s="4" t="s">
        <v>15</v>
      </c>
      <c r="B228" s="4">
        <v>0.37639908244168002</v>
      </c>
    </row>
    <row r="229" spans="1:3" x14ac:dyDescent="0.3">
      <c r="A229" s="4" t="s">
        <v>15</v>
      </c>
      <c r="B229" s="4">
        <v>0.40270330103190899</v>
      </c>
    </row>
    <row r="230" spans="1:3" x14ac:dyDescent="0.3">
      <c r="A230" s="4" t="s">
        <v>15</v>
      </c>
      <c r="B230" s="4">
        <v>0.49157263988849698</v>
      </c>
    </row>
    <row r="231" spans="1:3" x14ac:dyDescent="0.3">
      <c r="A231" s="4" t="s">
        <v>15</v>
      </c>
      <c r="B231" s="4">
        <v>1.01700260416116</v>
      </c>
    </row>
    <row r="232" spans="1:3" x14ac:dyDescent="0.3">
      <c r="A232" s="4" t="s">
        <v>15</v>
      </c>
      <c r="B232" s="4">
        <v>0.97659688738897799</v>
      </c>
    </row>
    <row r="233" spans="1:3" x14ac:dyDescent="0.3">
      <c r="A233" s="4" t="s">
        <v>15</v>
      </c>
      <c r="B233" s="4">
        <v>1.0261684964526001</v>
      </c>
    </row>
    <row r="234" spans="1:3" x14ac:dyDescent="0.3">
      <c r="A234" s="4" t="s">
        <v>15</v>
      </c>
      <c r="B234" s="4">
        <v>0.96139737049353802</v>
      </c>
    </row>
    <row r="235" spans="1:3" x14ac:dyDescent="0.3">
      <c r="A235" s="4" t="s">
        <v>15</v>
      </c>
      <c r="B235" s="4">
        <v>0.479667476759228</v>
      </c>
    </row>
    <row r="236" spans="1:3" x14ac:dyDescent="0.3">
      <c r="A236" s="4" t="s">
        <v>15</v>
      </c>
      <c r="B236" s="4">
        <v>0.57789260059388103</v>
      </c>
    </row>
    <row r="237" spans="1:3" x14ac:dyDescent="0.3">
      <c r="A237" s="4" t="s">
        <v>15</v>
      </c>
      <c r="B237" s="4">
        <v>0.58202947313244402</v>
      </c>
    </row>
    <row r="238" spans="1:3" x14ac:dyDescent="0.3">
      <c r="A238" s="4" t="s">
        <v>15</v>
      </c>
      <c r="B238" s="4">
        <v>0.60247866556274399</v>
      </c>
    </row>
    <row r="239" spans="1:3" x14ac:dyDescent="0.3">
      <c r="A239" s="4" t="s">
        <v>15</v>
      </c>
      <c r="B239" s="4">
        <v>0.669855745815364</v>
      </c>
    </row>
    <row r="240" spans="1:3" x14ac:dyDescent="0.3">
      <c r="A240" s="4" t="s">
        <v>15</v>
      </c>
      <c r="B240" s="4">
        <v>0.81581483557898904</v>
      </c>
    </row>
    <row r="241" spans="1:3" x14ac:dyDescent="0.3">
      <c r="A241" s="4" t="s">
        <v>15</v>
      </c>
      <c r="B241" s="4">
        <v>1.24614561864796</v>
      </c>
    </row>
    <row r="242" spans="1:3" x14ac:dyDescent="0.3">
      <c r="A242" s="4" t="s">
        <v>15</v>
      </c>
      <c r="B242" s="4">
        <v>1.41444696310817</v>
      </c>
    </row>
    <row r="243" spans="1:3" x14ac:dyDescent="0.3">
      <c r="A243" s="4" t="s">
        <v>15</v>
      </c>
      <c r="B243" s="4">
        <v>1.57770371324898</v>
      </c>
    </row>
    <row r="244" spans="1:3" x14ac:dyDescent="0.3">
      <c r="A244" s="4" t="s">
        <v>15</v>
      </c>
      <c r="B244" s="4">
        <v>1.6181437069248801</v>
      </c>
    </row>
    <row r="245" spans="1:3" x14ac:dyDescent="0.3">
      <c r="A245" s="4" t="s">
        <v>15</v>
      </c>
      <c r="B245" s="4">
        <v>1.57667991917671</v>
      </c>
    </row>
    <row r="246" spans="1:3" x14ac:dyDescent="0.3">
      <c r="A246" s="4" t="s">
        <v>15</v>
      </c>
      <c r="B246" s="4">
        <v>1.5031246635292199</v>
      </c>
    </row>
    <row r="247" spans="1:3" x14ac:dyDescent="0.3">
      <c r="A247" s="4" t="s">
        <v>15</v>
      </c>
      <c r="B247" s="4">
        <v>1.6669237966316199</v>
      </c>
    </row>
    <row r="248" spans="1:3" x14ac:dyDescent="0.3">
      <c r="A248" s="4" t="s">
        <v>15</v>
      </c>
      <c r="B248" s="4">
        <v>1.5076553829427</v>
      </c>
    </row>
    <row r="249" spans="1:3" x14ac:dyDescent="0.3">
      <c r="A249" s="4" t="s">
        <v>15</v>
      </c>
      <c r="B249" s="4">
        <v>1.3757832448137599</v>
      </c>
    </row>
    <row r="250" spans="1:3" x14ac:dyDescent="0.3">
      <c r="A250" s="4" t="s">
        <v>15</v>
      </c>
      <c r="B250" s="4">
        <v>1.2391737797835101</v>
      </c>
    </row>
    <row r="251" spans="1:3" x14ac:dyDescent="0.3">
      <c r="A251" s="4" t="s">
        <v>15</v>
      </c>
      <c r="B251" s="4">
        <v>1.2240827752288499</v>
      </c>
      <c r="C251">
        <f>+AVERAGE(B227:B251)</f>
        <v>1.0160896206915888</v>
      </c>
    </row>
    <row r="252" spans="1:3" x14ac:dyDescent="0.3">
      <c r="A252" s="4" t="s">
        <v>14</v>
      </c>
      <c r="B252" s="4">
        <v>0.76820031258977395</v>
      </c>
    </row>
    <row r="253" spans="1:3" x14ac:dyDescent="0.3">
      <c r="A253" s="4" t="s">
        <v>14</v>
      </c>
      <c r="B253" s="4">
        <v>0.67705579194013499</v>
      </c>
    </row>
    <row r="254" spans="1:3" x14ac:dyDescent="0.3">
      <c r="A254" s="4" t="s">
        <v>14</v>
      </c>
      <c r="B254" s="4">
        <v>0.65579496032034001</v>
      </c>
    </row>
    <row r="255" spans="1:3" x14ac:dyDescent="0.3">
      <c r="A255" s="4" t="s">
        <v>14</v>
      </c>
      <c r="B255" s="4">
        <v>0.54817577679724006</v>
      </c>
    </row>
    <row r="256" spans="1:3" x14ac:dyDescent="0.3">
      <c r="A256" s="4" t="s">
        <v>14</v>
      </c>
      <c r="B256" s="4">
        <v>0.608136230455673</v>
      </c>
    </row>
    <row r="257" spans="1:2" x14ac:dyDescent="0.3">
      <c r="A257" s="4" t="s">
        <v>14</v>
      </c>
      <c r="B257" s="4">
        <v>0.64678563583425697</v>
      </c>
    </row>
    <row r="258" spans="1:2" x14ac:dyDescent="0.3">
      <c r="A258" s="4" t="s">
        <v>14</v>
      </c>
      <c r="B258" s="4">
        <v>0.74275588820265004</v>
      </c>
    </row>
    <row r="259" spans="1:2" x14ac:dyDescent="0.3">
      <c r="A259" s="4" t="s">
        <v>14</v>
      </c>
      <c r="B259" s="4">
        <v>0.696518097727168</v>
      </c>
    </row>
    <row r="260" spans="1:2" x14ac:dyDescent="0.3">
      <c r="A260" s="4" t="s">
        <v>14</v>
      </c>
      <c r="B260" s="4">
        <v>0.83116288858040899</v>
      </c>
    </row>
    <row r="261" spans="1:2" x14ac:dyDescent="0.3">
      <c r="A261" s="4" t="s">
        <v>14</v>
      </c>
      <c r="B261" s="4">
        <v>1.1643117671124099</v>
      </c>
    </row>
    <row r="262" spans="1:2" x14ac:dyDescent="0.3">
      <c r="A262" s="4" t="s">
        <v>14</v>
      </c>
      <c r="B262" s="4">
        <v>1.3500260937671</v>
      </c>
    </row>
    <row r="263" spans="1:2" x14ac:dyDescent="0.3">
      <c r="A263" s="4" t="s">
        <v>14</v>
      </c>
      <c r="B263" s="4">
        <v>1.6154126035642999</v>
      </c>
    </row>
    <row r="264" spans="1:2" x14ac:dyDescent="0.3">
      <c r="A264" s="4" t="s">
        <v>14</v>
      </c>
      <c r="B264" s="4">
        <v>2.4269116707645102</v>
      </c>
    </row>
    <row r="265" spans="1:2" x14ac:dyDescent="0.3">
      <c r="A265" s="4" t="s">
        <v>14</v>
      </c>
      <c r="B265" s="4">
        <v>3.0353724846874202</v>
      </c>
    </row>
    <row r="266" spans="1:2" x14ac:dyDescent="0.3">
      <c r="A266" s="4" t="s">
        <v>14</v>
      </c>
      <c r="B266" s="4">
        <v>2.9686297223243998</v>
      </c>
    </row>
    <row r="267" spans="1:2" x14ac:dyDescent="0.3">
      <c r="A267" s="4" t="s">
        <v>14</v>
      </c>
      <c r="B267" s="4">
        <v>3.1398335650571001</v>
      </c>
    </row>
    <row r="268" spans="1:2" x14ac:dyDescent="0.3">
      <c r="A268" s="4" t="s">
        <v>14</v>
      </c>
      <c r="B268" s="4">
        <v>3.22385742993617</v>
      </c>
    </row>
    <row r="269" spans="1:2" x14ac:dyDescent="0.3">
      <c r="A269" s="4" t="s">
        <v>14</v>
      </c>
      <c r="B269" s="4">
        <v>2.87307372025368</v>
      </c>
    </row>
    <row r="270" spans="1:2" x14ac:dyDescent="0.3">
      <c r="A270" s="4" t="s">
        <v>14</v>
      </c>
      <c r="B270" s="4">
        <v>2.7298822033547698</v>
      </c>
    </row>
    <row r="271" spans="1:2" x14ac:dyDescent="0.3">
      <c r="A271" s="4" t="s">
        <v>14</v>
      </c>
      <c r="B271" s="4">
        <v>2.9558224999540501</v>
      </c>
    </row>
    <row r="272" spans="1:2" x14ac:dyDescent="0.3">
      <c r="A272" s="4" t="s">
        <v>14</v>
      </c>
      <c r="B272" s="4">
        <v>2.4704983437156902</v>
      </c>
    </row>
    <row r="273" spans="1:3" x14ac:dyDescent="0.3">
      <c r="A273" s="4" t="s">
        <v>14</v>
      </c>
      <c r="B273" s="4">
        <v>2.05117225294059</v>
      </c>
    </row>
    <row r="274" spans="1:3" x14ac:dyDescent="0.3">
      <c r="A274" s="4" t="s">
        <v>14</v>
      </c>
      <c r="B274" s="4">
        <v>2.2424521145242999</v>
      </c>
    </row>
    <row r="275" spans="1:3" x14ac:dyDescent="0.3">
      <c r="A275" s="4" t="s">
        <v>14</v>
      </c>
      <c r="B275" s="4">
        <v>2.4098396544518201</v>
      </c>
    </row>
    <row r="276" spans="1:3" x14ac:dyDescent="0.3">
      <c r="A276" s="4" t="s">
        <v>14</v>
      </c>
      <c r="B276" s="4">
        <v>2.4614554091140199</v>
      </c>
      <c r="C276">
        <f>+AVERAGE(B252:B276)</f>
        <v>1.8117254847187991</v>
      </c>
    </row>
    <row r="277" spans="1:3" x14ac:dyDescent="0.3">
      <c r="A277" s="4" t="s">
        <v>13</v>
      </c>
      <c r="B277" s="4">
        <v>0.39117666594421902</v>
      </c>
    </row>
    <row r="278" spans="1:3" x14ac:dyDescent="0.3">
      <c r="A278" s="4" t="s">
        <v>13</v>
      </c>
      <c r="B278" s="4">
        <v>0.47271644111975802</v>
      </c>
    </row>
    <row r="279" spans="1:3" x14ac:dyDescent="0.3">
      <c r="A279" s="4" t="s">
        <v>13</v>
      </c>
      <c r="B279" s="4">
        <v>0.68786456007824304</v>
      </c>
    </row>
    <row r="280" spans="1:3" x14ac:dyDescent="0.3">
      <c r="A280" s="4" t="s">
        <v>13</v>
      </c>
      <c r="B280" s="4">
        <v>0.4235388197212</v>
      </c>
    </row>
    <row r="281" spans="1:3" x14ac:dyDescent="0.3">
      <c r="A281" s="4" t="s">
        <v>13</v>
      </c>
      <c r="B281" s="4">
        <v>0.43658422295965199</v>
      </c>
    </row>
    <row r="282" spans="1:3" x14ac:dyDescent="0.3">
      <c r="A282" s="4" t="s">
        <v>13</v>
      </c>
      <c r="B282" s="4">
        <v>0.39072727483320802</v>
      </c>
    </row>
    <row r="283" spans="1:3" x14ac:dyDescent="0.3">
      <c r="A283" s="4" t="s">
        <v>13</v>
      </c>
      <c r="B283" s="4">
        <v>0.46103531747937199</v>
      </c>
    </row>
    <row r="284" spans="1:3" x14ac:dyDescent="0.3">
      <c r="A284" s="4" t="s">
        <v>13</v>
      </c>
      <c r="B284" s="4">
        <v>0.50759519806674003</v>
      </c>
    </row>
    <row r="285" spans="1:3" x14ac:dyDescent="0.3">
      <c r="A285" s="4" t="s">
        <v>13</v>
      </c>
      <c r="B285" s="4">
        <v>0.66466598980723401</v>
      </c>
    </row>
    <row r="286" spans="1:3" x14ac:dyDescent="0.3">
      <c r="A286" s="4" t="s">
        <v>13</v>
      </c>
      <c r="B286" s="4">
        <v>0.717815176899672</v>
      </c>
    </row>
    <row r="287" spans="1:3" x14ac:dyDescent="0.3">
      <c r="A287" s="4" t="s">
        <v>13</v>
      </c>
      <c r="B287" s="4">
        <v>0.98131344032942902</v>
      </c>
    </row>
    <row r="288" spans="1:3" x14ac:dyDescent="0.3">
      <c r="A288" s="4" t="s">
        <v>13</v>
      </c>
      <c r="B288" s="4">
        <v>0.98817194568420696</v>
      </c>
    </row>
    <row r="289" spans="1:3" x14ac:dyDescent="0.3">
      <c r="A289" s="4" t="s">
        <v>13</v>
      </c>
      <c r="B289" s="4">
        <v>1.04212869508858</v>
      </c>
    </row>
    <row r="290" spans="1:3" x14ac:dyDescent="0.3">
      <c r="A290" s="4" t="s">
        <v>13</v>
      </c>
      <c r="B290" s="4">
        <v>1.2842056746610999</v>
      </c>
    </row>
    <row r="291" spans="1:3" x14ac:dyDescent="0.3">
      <c r="A291" s="4" t="s">
        <v>13</v>
      </c>
      <c r="B291" s="4">
        <v>1.21299248519675</v>
      </c>
    </row>
    <row r="292" spans="1:3" x14ac:dyDescent="0.3">
      <c r="A292" s="4" t="s">
        <v>13</v>
      </c>
      <c r="B292" s="4">
        <v>1.23294860142387</v>
      </c>
    </row>
    <row r="293" spans="1:3" x14ac:dyDescent="0.3">
      <c r="A293" s="4" t="s">
        <v>13</v>
      </c>
      <c r="B293" s="4">
        <v>1.0110405779646201</v>
      </c>
    </row>
    <row r="294" spans="1:3" x14ac:dyDescent="0.3">
      <c r="A294" s="4" t="s">
        <v>13</v>
      </c>
      <c r="B294" s="4">
        <v>0.76804654192098198</v>
      </c>
    </row>
    <row r="295" spans="1:3" x14ac:dyDescent="0.3">
      <c r="A295" s="4" t="s">
        <v>13</v>
      </c>
      <c r="B295" s="4">
        <v>0.66977239198441796</v>
      </c>
    </row>
    <row r="296" spans="1:3" x14ac:dyDescent="0.3">
      <c r="A296" s="4" t="s">
        <v>13</v>
      </c>
      <c r="B296" s="4">
        <v>0.75197331321827598</v>
      </c>
    </row>
    <row r="297" spans="1:3" x14ac:dyDescent="0.3">
      <c r="A297" s="4" t="s">
        <v>13</v>
      </c>
      <c r="B297" s="4">
        <v>0.75955711771807299</v>
      </c>
    </row>
    <row r="298" spans="1:3" x14ac:dyDescent="0.3">
      <c r="A298" s="4" t="s">
        <v>13</v>
      </c>
      <c r="B298" s="4">
        <v>0.73686487544574997</v>
      </c>
    </row>
    <row r="299" spans="1:3" x14ac:dyDescent="0.3">
      <c r="A299" s="4" t="s">
        <v>13</v>
      </c>
      <c r="B299" s="4">
        <v>0.667749932634084</v>
      </c>
    </row>
    <row r="300" spans="1:3" x14ac:dyDescent="0.3">
      <c r="A300" s="4" t="s">
        <v>13</v>
      </c>
      <c r="B300" s="4">
        <v>0.69721331181788604</v>
      </c>
    </row>
    <row r="301" spans="1:3" x14ac:dyDescent="0.3">
      <c r="A301" s="4" t="s">
        <v>13</v>
      </c>
      <c r="B301" s="4">
        <v>0.73996276808676198</v>
      </c>
      <c r="C301">
        <f>+AVERAGE(B277:B301)</f>
        <v>0.74790645360336339</v>
      </c>
    </row>
    <row r="302" spans="1:3" x14ac:dyDescent="0.3">
      <c r="A302" s="4" t="s">
        <v>12</v>
      </c>
      <c r="B302" s="4">
        <v>0.15773596584244601</v>
      </c>
    </row>
    <row r="303" spans="1:3" x14ac:dyDescent="0.3">
      <c r="A303" s="4" t="s">
        <v>12</v>
      </c>
      <c r="B303" s="4">
        <v>0.16010802908654301</v>
      </c>
    </row>
    <row r="304" spans="1:3" x14ac:dyDescent="0.3">
      <c r="A304" s="4" t="s">
        <v>12</v>
      </c>
      <c r="B304" s="4">
        <v>0.16978538888262101</v>
      </c>
    </row>
    <row r="305" spans="1:2" x14ac:dyDescent="0.3">
      <c r="A305" s="4" t="s">
        <v>12</v>
      </c>
      <c r="B305" s="4">
        <v>0.17076085298632199</v>
      </c>
    </row>
    <row r="306" spans="1:2" x14ac:dyDescent="0.3">
      <c r="A306" s="4" t="s">
        <v>12</v>
      </c>
      <c r="B306" s="4">
        <v>0.175283599088909</v>
      </c>
    </row>
    <row r="307" spans="1:2" x14ac:dyDescent="0.3">
      <c r="A307" s="4" t="s">
        <v>12</v>
      </c>
      <c r="B307" s="4">
        <v>0.163004303533648</v>
      </c>
    </row>
    <row r="308" spans="1:2" x14ac:dyDescent="0.3">
      <c r="A308" s="4" t="s">
        <v>12</v>
      </c>
      <c r="B308" s="4">
        <v>0.15243873994782101</v>
      </c>
    </row>
    <row r="309" spans="1:2" x14ac:dyDescent="0.3">
      <c r="A309" s="4" t="s">
        <v>12</v>
      </c>
      <c r="B309" s="4">
        <v>0.15315704378645201</v>
      </c>
    </row>
    <row r="310" spans="1:2" x14ac:dyDescent="0.3">
      <c r="A310" s="4" t="s">
        <v>12</v>
      </c>
      <c r="B310" s="4">
        <v>0.147331703367379</v>
      </c>
    </row>
    <row r="311" spans="1:2" x14ac:dyDescent="0.3">
      <c r="A311" s="4" t="s">
        <v>12</v>
      </c>
      <c r="B311" s="4">
        <v>0.162760227235558</v>
      </c>
    </row>
    <row r="312" spans="1:2" x14ac:dyDescent="0.3">
      <c r="A312" s="4" t="s">
        <v>12</v>
      </c>
      <c r="B312" s="4">
        <v>0.15774693384071201</v>
      </c>
    </row>
    <row r="313" spans="1:2" x14ac:dyDescent="0.3">
      <c r="A313" s="4" t="s">
        <v>12</v>
      </c>
      <c r="B313" s="4">
        <v>0.15258364272816</v>
      </c>
    </row>
    <row r="314" spans="1:2" x14ac:dyDescent="0.3">
      <c r="A314" s="4" t="s">
        <v>12</v>
      </c>
      <c r="B314" s="4">
        <v>0.14948009307152799</v>
      </c>
    </row>
    <row r="315" spans="1:2" x14ac:dyDescent="0.3">
      <c r="A315" s="4" t="s">
        <v>12</v>
      </c>
      <c r="B315" s="4">
        <v>0.15046310321312101</v>
      </c>
    </row>
    <row r="316" spans="1:2" x14ac:dyDescent="0.3">
      <c r="A316" s="4" t="s">
        <v>12</v>
      </c>
      <c r="B316" s="4">
        <v>0.15146349389852501</v>
      </c>
    </row>
    <row r="317" spans="1:2" x14ac:dyDescent="0.3">
      <c r="A317" s="4" t="s">
        <v>12</v>
      </c>
      <c r="B317" s="4">
        <v>0.15687943565725701</v>
      </c>
    </row>
    <row r="318" spans="1:2" x14ac:dyDescent="0.3">
      <c r="A318" s="4" t="s">
        <v>12</v>
      </c>
      <c r="B318" s="4">
        <v>0.160011611284471</v>
      </c>
    </row>
    <row r="319" spans="1:2" x14ac:dyDescent="0.3">
      <c r="A319" s="4" t="s">
        <v>12</v>
      </c>
      <c r="B319" s="4">
        <v>0.15327535837744599</v>
      </c>
    </row>
    <row r="320" spans="1:2" x14ac:dyDescent="0.3">
      <c r="A320" s="4" t="s">
        <v>12</v>
      </c>
      <c r="B320" s="4">
        <v>0.14651291379630399</v>
      </c>
    </row>
    <row r="321" spans="1:3" x14ac:dyDescent="0.3">
      <c r="A321" s="4" t="s">
        <v>12</v>
      </c>
      <c r="B321" s="4">
        <v>0.15064292547889399</v>
      </c>
    </row>
    <row r="322" spans="1:3" x14ac:dyDescent="0.3">
      <c r="A322" s="4" t="s">
        <v>12</v>
      </c>
      <c r="B322" s="4">
        <v>0.16021579444158901</v>
      </c>
    </row>
    <row r="323" spans="1:3" x14ac:dyDescent="0.3">
      <c r="A323" s="4" t="s">
        <v>12</v>
      </c>
      <c r="B323" s="4">
        <v>0.13345816766719301</v>
      </c>
    </row>
    <row r="324" spans="1:3" x14ac:dyDescent="0.3">
      <c r="A324" s="4" t="s">
        <v>12</v>
      </c>
      <c r="B324" s="4">
        <v>0.105568628356321</v>
      </c>
    </row>
    <row r="325" spans="1:3" x14ac:dyDescent="0.3">
      <c r="A325" s="4" t="s">
        <v>12</v>
      </c>
      <c r="B325" s="4">
        <v>0.124104424690457</v>
      </c>
    </row>
    <row r="326" spans="1:3" x14ac:dyDescent="0.3">
      <c r="A326" s="4" t="s">
        <v>12</v>
      </c>
      <c r="B326" s="4">
        <v>0.128465355114707</v>
      </c>
      <c r="C326">
        <f>+AVERAGE(B302:B326)</f>
        <v>0.15172950941497534</v>
      </c>
    </row>
    <row r="327" spans="1:3" x14ac:dyDescent="0.3">
      <c r="A327" s="4" t="s">
        <v>11</v>
      </c>
      <c r="B327" s="4">
        <v>0.257692251193537</v>
      </c>
    </row>
    <row r="328" spans="1:3" x14ac:dyDescent="0.3">
      <c r="A328" s="4" t="s">
        <v>11</v>
      </c>
      <c r="B328" s="4">
        <v>0.28716342423720997</v>
      </c>
    </row>
    <row r="329" spans="1:3" x14ac:dyDescent="0.3">
      <c r="A329" s="4" t="s">
        <v>11</v>
      </c>
      <c r="B329" s="4">
        <v>0.31042752517706901</v>
      </c>
    </row>
    <row r="330" spans="1:3" x14ac:dyDescent="0.3">
      <c r="A330" s="4" t="s">
        <v>11</v>
      </c>
      <c r="B330" s="4">
        <v>0.214509178939295</v>
      </c>
    </row>
    <row r="331" spans="1:3" x14ac:dyDescent="0.3">
      <c r="A331" s="4" t="s">
        <v>11</v>
      </c>
      <c r="B331" s="4">
        <v>0.17472803848814999</v>
      </c>
    </row>
    <row r="332" spans="1:3" x14ac:dyDescent="0.3">
      <c r="A332" s="4" t="s">
        <v>11</v>
      </c>
      <c r="B332" s="4">
        <v>0.96672523561291201</v>
      </c>
    </row>
    <row r="333" spans="1:3" x14ac:dyDescent="0.3">
      <c r="A333" s="4" t="s">
        <v>11</v>
      </c>
      <c r="B333" s="4">
        <v>0.95101510224003805</v>
      </c>
    </row>
    <row r="334" spans="1:3" x14ac:dyDescent="0.3">
      <c r="A334" s="4" t="s">
        <v>11</v>
      </c>
      <c r="B334" s="4">
        <v>0.93034751990096098</v>
      </c>
    </row>
    <row r="335" spans="1:3" x14ac:dyDescent="0.3">
      <c r="A335" s="4" t="s">
        <v>11</v>
      </c>
      <c r="B335" s="4">
        <v>0.79431137068872304</v>
      </c>
    </row>
    <row r="336" spans="1:3" x14ac:dyDescent="0.3">
      <c r="A336" s="4" t="s">
        <v>11</v>
      </c>
      <c r="B336" s="4">
        <v>0.39197139927611102</v>
      </c>
    </row>
    <row r="337" spans="1:3" x14ac:dyDescent="0.3">
      <c r="A337" s="4" t="s">
        <v>11</v>
      </c>
      <c r="B337" s="4">
        <v>0.37714348245798002</v>
      </c>
    </row>
    <row r="338" spans="1:3" x14ac:dyDescent="0.3">
      <c r="A338" s="4" t="s">
        <v>11</v>
      </c>
      <c r="B338" s="4">
        <v>0.36034786062509999</v>
      </c>
    </row>
    <row r="339" spans="1:3" x14ac:dyDescent="0.3">
      <c r="A339" s="4" t="s">
        <v>11</v>
      </c>
      <c r="B339" s="4">
        <v>0.409351035859985</v>
      </c>
    </row>
    <row r="340" spans="1:3" x14ac:dyDescent="0.3">
      <c r="A340" s="4" t="s">
        <v>11</v>
      </c>
      <c r="B340" s="4">
        <v>2.5320377288048599</v>
      </c>
    </row>
    <row r="341" spans="1:3" x14ac:dyDescent="0.3">
      <c r="A341" s="4" t="s">
        <v>11</v>
      </c>
      <c r="B341" s="4">
        <v>2.5452952663767001</v>
      </c>
    </row>
    <row r="342" spans="1:3" x14ac:dyDescent="0.3">
      <c r="A342" s="4" t="s">
        <v>11</v>
      </c>
      <c r="B342" s="4">
        <v>3.03084180005794</v>
      </c>
    </row>
    <row r="343" spans="1:3" x14ac:dyDescent="0.3">
      <c r="A343" s="4" t="s">
        <v>11</v>
      </c>
      <c r="B343" s="4">
        <v>3.2002634393119598</v>
      </c>
    </row>
    <row r="344" spans="1:3" x14ac:dyDescent="0.3">
      <c r="A344" s="4" t="s">
        <v>11</v>
      </c>
      <c r="B344" s="4">
        <v>3.1195529424523101</v>
      </c>
    </row>
    <row r="345" spans="1:3" x14ac:dyDescent="0.3">
      <c r="A345" s="4" t="s">
        <v>11</v>
      </c>
      <c r="B345" s="4">
        <v>2.88843413726554</v>
      </c>
    </row>
    <row r="346" spans="1:3" x14ac:dyDescent="0.3">
      <c r="A346" s="4" t="s">
        <v>11</v>
      </c>
      <c r="B346" s="4">
        <v>3.2557642866172301</v>
      </c>
    </row>
    <row r="347" spans="1:3" x14ac:dyDescent="0.3">
      <c r="A347" s="4" t="s">
        <v>11</v>
      </c>
      <c r="B347" s="4">
        <v>3.0426851754726001</v>
      </c>
    </row>
    <row r="348" spans="1:3" x14ac:dyDescent="0.3">
      <c r="A348" s="4" t="s">
        <v>11</v>
      </c>
      <c r="B348" s="4">
        <v>3.1977173984269398</v>
      </c>
    </row>
    <row r="349" spans="1:3" x14ac:dyDescent="0.3">
      <c r="A349" s="4" t="s">
        <v>11</v>
      </c>
      <c r="B349" s="4">
        <v>2.9735017259978598</v>
      </c>
    </row>
    <row r="350" spans="1:3" x14ac:dyDescent="0.3">
      <c r="A350" s="4" t="s">
        <v>11</v>
      </c>
      <c r="B350" s="4">
        <v>2.8655055005239198</v>
      </c>
    </row>
    <row r="351" spans="1:3" x14ac:dyDescent="0.3">
      <c r="A351" s="4" t="s">
        <v>11</v>
      </c>
      <c r="B351" s="4">
        <v>2.4901346657640002</v>
      </c>
      <c r="C351">
        <f>+AVERAGE(B327:B351)</f>
        <v>1.6626986996707576</v>
      </c>
    </row>
    <row r="352" spans="1:3" x14ac:dyDescent="0.3">
      <c r="A352" s="4" t="s">
        <v>9</v>
      </c>
      <c r="B352" s="4">
        <v>0.166526475482417</v>
      </c>
    </row>
    <row r="353" spans="1:2" x14ac:dyDescent="0.3">
      <c r="A353" s="4" t="s">
        <v>9</v>
      </c>
      <c r="B353" s="4">
        <v>0.23842887425829901</v>
      </c>
    </row>
    <row r="354" spans="1:2" x14ac:dyDescent="0.3">
      <c r="A354" s="4" t="s">
        <v>9</v>
      </c>
      <c r="B354" s="4">
        <v>0.19153706712912799</v>
      </c>
    </row>
    <row r="355" spans="1:2" x14ac:dyDescent="0.3">
      <c r="A355" s="4" t="s">
        <v>9</v>
      </c>
      <c r="B355" s="4">
        <v>0.40632275906749299</v>
      </c>
    </row>
    <row r="356" spans="1:2" x14ac:dyDescent="0.3">
      <c r="A356" s="4" t="s">
        <v>9</v>
      </c>
      <c r="B356" s="4">
        <v>0.41498789209034997</v>
      </c>
    </row>
    <row r="357" spans="1:2" x14ac:dyDescent="0.3">
      <c r="A357" s="4" t="s">
        <v>9</v>
      </c>
      <c r="B357" s="4">
        <v>0.462486454983771</v>
      </c>
    </row>
    <row r="358" spans="1:2" x14ac:dyDescent="0.3">
      <c r="A358" s="4" t="s">
        <v>9</v>
      </c>
      <c r="B358" s="4">
        <v>0.53134656596141105</v>
      </c>
    </row>
    <row r="359" spans="1:2" x14ac:dyDescent="0.3">
      <c r="A359" s="4" t="s">
        <v>9</v>
      </c>
      <c r="B359" s="4">
        <v>0.65411071840294799</v>
      </c>
    </row>
    <row r="360" spans="1:2" x14ac:dyDescent="0.3">
      <c r="A360" s="4" t="s">
        <v>9</v>
      </c>
      <c r="B360" s="4">
        <v>0.79583733953576896</v>
      </c>
    </row>
    <row r="361" spans="1:2" x14ac:dyDescent="0.3">
      <c r="A361" s="4" t="s">
        <v>9</v>
      </c>
      <c r="B361" s="4">
        <v>0.91361897601028197</v>
      </c>
    </row>
    <row r="362" spans="1:2" x14ac:dyDescent="0.3">
      <c r="A362" s="4" t="s">
        <v>9</v>
      </c>
      <c r="B362" s="4">
        <v>0.82414420228776797</v>
      </c>
    </row>
    <row r="363" spans="1:2" x14ac:dyDescent="0.3">
      <c r="A363" s="4" t="s">
        <v>9</v>
      </c>
      <c r="B363" s="4">
        <v>0.76851838301462505</v>
      </c>
    </row>
    <row r="364" spans="1:2" x14ac:dyDescent="0.3">
      <c r="A364" s="4" t="s">
        <v>9</v>
      </c>
      <c r="B364" s="4">
        <v>0.78100472927855202</v>
      </c>
    </row>
    <row r="365" spans="1:2" x14ac:dyDescent="0.3">
      <c r="A365" s="4" t="s">
        <v>9</v>
      </c>
      <c r="B365" s="4">
        <v>0.80016916656721504</v>
      </c>
    </row>
    <row r="366" spans="1:2" x14ac:dyDescent="0.3">
      <c r="A366" s="4" t="s">
        <v>9</v>
      </c>
      <c r="B366" s="4">
        <v>0.81179591115539396</v>
      </c>
    </row>
    <row r="367" spans="1:2" x14ac:dyDescent="0.3">
      <c r="A367" s="4" t="s">
        <v>9</v>
      </c>
      <c r="B367" s="4">
        <v>0.75318167069224196</v>
      </c>
    </row>
    <row r="368" spans="1:2" x14ac:dyDescent="0.3">
      <c r="A368" s="4" t="s">
        <v>9</v>
      </c>
      <c r="B368" s="4">
        <v>0.62213555385292596</v>
      </c>
    </row>
    <row r="369" spans="1:3" x14ac:dyDescent="0.3">
      <c r="A369" s="4" t="s">
        <v>9</v>
      </c>
      <c r="B369" s="4">
        <v>0.60911089431893595</v>
      </c>
    </row>
    <row r="370" spans="1:3" x14ac:dyDescent="0.3">
      <c r="A370" s="4" t="s">
        <v>9</v>
      </c>
      <c r="B370" s="4">
        <v>0.59546556028573605</v>
      </c>
    </row>
    <row r="371" spans="1:3" x14ac:dyDescent="0.3">
      <c r="A371" s="4" t="s">
        <v>9</v>
      </c>
      <c r="B371" s="4">
        <v>0.637456781334233</v>
      </c>
    </row>
    <row r="372" spans="1:3" x14ac:dyDescent="0.3">
      <c r="A372" s="4" t="s">
        <v>9</v>
      </c>
      <c r="B372" s="4">
        <v>0.60005556628072299</v>
      </c>
    </row>
    <row r="373" spans="1:3" x14ac:dyDescent="0.3">
      <c r="A373" s="4" t="s">
        <v>9</v>
      </c>
      <c r="B373" s="4">
        <v>0.51642577295572201</v>
      </c>
    </row>
    <row r="374" spans="1:3" x14ac:dyDescent="0.3">
      <c r="A374" s="4" t="s">
        <v>9</v>
      </c>
      <c r="B374" s="4">
        <v>0.64314085005905697</v>
      </c>
    </row>
    <row r="375" spans="1:3" x14ac:dyDescent="0.3">
      <c r="A375" s="4" t="s">
        <v>9</v>
      </c>
      <c r="B375" s="4">
        <v>0.67025626260424298</v>
      </c>
    </row>
    <row r="376" spans="1:3" x14ac:dyDescent="0.3">
      <c r="A376" s="4" t="s">
        <v>9</v>
      </c>
      <c r="B376" s="4">
        <v>0.74025934107019697</v>
      </c>
      <c r="C376">
        <f>+AVERAGE(B352:B376)</f>
        <v>0.60593295074717757</v>
      </c>
    </row>
    <row r="377" spans="1:3" x14ac:dyDescent="0.3">
      <c r="A377" s="1" t="s">
        <v>8</v>
      </c>
      <c r="B377" s="1">
        <v>9.5293713188000506</v>
      </c>
    </row>
    <row r="378" spans="1:3" x14ac:dyDescent="0.3">
      <c r="A378" s="1" t="s">
        <v>8</v>
      </c>
      <c r="B378" s="1">
        <v>9.8769492178092104</v>
      </c>
    </row>
    <row r="379" spans="1:3" x14ac:dyDescent="0.3">
      <c r="A379" s="1" t="s">
        <v>8</v>
      </c>
      <c r="B379" s="1">
        <v>11.104915536961199</v>
      </c>
    </row>
    <row r="380" spans="1:3" x14ac:dyDescent="0.3">
      <c r="A380" s="1" t="s">
        <v>8</v>
      </c>
      <c r="B380" s="1">
        <v>11.964827232473899</v>
      </c>
    </row>
    <row r="381" spans="1:3" x14ac:dyDescent="0.3">
      <c r="A381" s="1" t="s">
        <v>8</v>
      </c>
      <c r="B381" s="1">
        <v>22.0185694314846</v>
      </c>
    </row>
    <row r="382" spans="1:3" x14ac:dyDescent="0.3">
      <c r="A382" s="1" t="s">
        <v>8</v>
      </c>
      <c r="B382" s="1">
        <v>18.676397429011701</v>
      </c>
    </row>
    <row r="383" spans="1:3" x14ac:dyDescent="0.3">
      <c r="A383" s="1" t="s">
        <v>8</v>
      </c>
      <c r="B383" s="1">
        <v>18.312817614090299</v>
      </c>
    </row>
    <row r="384" spans="1:3" x14ac:dyDescent="0.3">
      <c r="A384" s="1" t="s">
        <v>8</v>
      </c>
      <c r="B384" s="1">
        <v>17.861408642120001</v>
      </c>
    </row>
    <row r="385" spans="1:2" x14ac:dyDescent="0.3">
      <c r="A385" s="1" t="s">
        <v>8</v>
      </c>
      <c r="B385" s="1">
        <v>16.3270491787545</v>
      </c>
    </row>
    <row r="386" spans="1:2" x14ac:dyDescent="0.3">
      <c r="A386" s="1" t="s">
        <v>8</v>
      </c>
      <c r="B386" s="1">
        <v>16.649164050982101</v>
      </c>
    </row>
    <row r="387" spans="1:2" x14ac:dyDescent="0.3">
      <c r="A387" s="1" t="s">
        <v>8</v>
      </c>
      <c r="B387" s="1">
        <v>18.0268391620613</v>
      </c>
    </row>
    <row r="388" spans="1:2" x14ac:dyDescent="0.3">
      <c r="A388" s="1" t="s">
        <v>8</v>
      </c>
      <c r="B388" s="1">
        <v>17.734222648798099</v>
      </c>
    </row>
    <row r="389" spans="1:2" x14ac:dyDescent="0.3">
      <c r="A389" s="1" t="s">
        <v>8</v>
      </c>
      <c r="B389" s="1">
        <v>18.0330178717679</v>
      </c>
    </row>
    <row r="390" spans="1:2" x14ac:dyDescent="0.3">
      <c r="A390" s="1" t="s">
        <v>8</v>
      </c>
      <c r="B390" s="1">
        <v>19.7113773941979</v>
      </c>
    </row>
    <row r="391" spans="1:2" x14ac:dyDescent="0.3">
      <c r="A391" s="1" t="s">
        <v>8</v>
      </c>
      <c r="B391" s="1">
        <v>17.904439838376302</v>
      </c>
    </row>
    <row r="392" spans="1:2" x14ac:dyDescent="0.3">
      <c r="A392" s="1" t="s">
        <v>8</v>
      </c>
      <c r="B392" s="1">
        <v>14.132741427705399</v>
      </c>
    </row>
    <row r="393" spans="1:2" x14ac:dyDescent="0.3">
      <c r="A393" s="1" t="s">
        <v>8</v>
      </c>
      <c r="B393" s="1">
        <v>13.1074628255062</v>
      </c>
    </row>
    <row r="394" spans="1:2" x14ac:dyDescent="0.3">
      <c r="A394" s="1" t="s">
        <v>8</v>
      </c>
      <c r="B394" s="1">
        <v>13.347744638399901</v>
      </c>
    </row>
    <row r="395" spans="1:2" x14ac:dyDescent="0.3">
      <c r="A395" s="1" t="s">
        <v>8</v>
      </c>
      <c r="B395" s="1">
        <v>11.942703408285301</v>
      </c>
    </row>
    <row r="396" spans="1:2" x14ac:dyDescent="0.3">
      <c r="A396" s="1" t="s">
        <v>8</v>
      </c>
      <c r="B396" s="1">
        <v>11.218921077229799</v>
      </c>
    </row>
    <row r="397" spans="1:2" x14ac:dyDescent="0.3">
      <c r="A397" s="1" t="s">
        <v>8</v>
      </c>
      <c r="B397" s="1">
        <v>10.497055254126501</v>
      </c>
    </row>
    <row r="398" spans="1:2" x14ac:dyDescent="0.3">
      <c r="A398" s="1" t="s">
        <v>8</v>
      </c>
      <c r="B398" s="1">
        <v>11.2171827452107</v>
      </c>
    </row>
    <row r="399" spans="1:2" x14ac:dyDescent="0.3">
      <c r="A399" s="1" t="s">
        <v>8</v>
      </c>
      <c r="B399" s="1">
        <v>10.8688335174113</v>
      </c>
    </row>
    <row r="400" spans="1:2" x14ac:dyDescent="0.3">
      <c r="A400" s="1" t="s">
        <v>8</v>
      </c>
      <c r="B400" s="1">
        <v>6.3962109861755296</v>
      </c>
    </row>
    <row r="401" spans="1:3" x14ac:dyDescent="0.3">
      <c r="A401" s="1" t="s">
        <v>8</v>
      </c>
      <c r="B401" s="1">
        <v>4.9246877578142296</v>
      </c>
      <c r="C401">
        <f>+AVERAGE(B377:B401)</f>
        <v>14.055396408222158</v>
      </c>
    </row>
    <row r="402" spans="1:3" x14ac:dyDescent="0.3">
      <c r="A402" s="1" t="s">
        <v>7</v>
      </c>
      <c r="B402" s="1">
        <v>0.124329962416334</v>
      </c>
    </row>
    <row r="403" spans="1:3" x14ac:dyDescent="0.3">
      <c r="A403" s="1" t="s">
        <v>7</v>
      </c>
      <c r="B403" s="1">
        <v>0.12796939757855499</v>
      </c>
    </row>
    <row r="404" spans="1:3" x14ac:dyDescent="0.3">
      <c r="A404" s="1" t="s">
        <v>7</v>
      </c>
      <c r="B404" s="1">
        <v>0.117477070111245</v>
      </c>
    </row>
    <row r="405" spans="1:3" x14ac:dyDescent="0.3">
      <c r="A405" s="1" t="s">
        <v>7</v>
      </c>
      <c r="B405" s="1">
        <v>0.13907113149847999</v>
      </c>
    </row>
    <row r="406" spans="1:3" x14ac:dyDescent="0.3">
      <c r="A406" s="1" t="s">
        <v>7</v>
      </c>
      <c r="B406" s="1">
        <v>0.13396222062115701</v>
      </c>
    </row>
    <row r="407" spans="1:3" x14ac:dyDescent="0.3">
      <c r="A407" s="1" t="s">
        <v>7</v>
      </c>
      <c r="B407" s="1">
        <v>0.13495870556951001</v>
      </c>
    </row>
    <row r="408" spans="1:3" x14ac:dyDescent="0.3">
      <c r="A408" s="1" t="s">
        <v>7</v>
      </c>
      <c r="B408" s="1">
        <v>0.13536483398516899</v>
      </c>
    </row>
    <row r="409" spans="1:3" x14ac:dyDescent="0.3">
      <c r="A409" s="1" t="s">
        <v>7</v>
      </c>
      <c r="B409" s="1">
        <v>0.156647908424764</v>
      </c>
    </row>
    <row r="410" spans="1:3" x14ac:dyDescent="0.3">
      <c r="A410" s="1" t="s">
        <v>7</v>
      </c>
      <c r="B410" s="1">
        <v>0.14417569832876501</v>
      </c>
    </row>
    <row r="411" spans="1:3" x14ac:dyDescent="0.3">
      <c r="A411" s="1" t="s">
        <v>7</v>
      </c>
      <c r="B411" s="1">
        <v>0.14323930327421699</v>
      </c>
    </row>
    <row r="412" spans="1:3" x14ac:dyDescent="0.3">
      <c r="A412" s="1" t="s">
        <v>7</v>
      </c>
      <c r="B412" s="1">
        <v>0.16176702583177799</v>
      </c>
    </row>
    <row r="413" spans="1:3" x14ac:dyDescent="0.3">
      <c r="A413" s="1" t="s">
        <v>7</v>
      </c>
      <c r="B413" s="1">
        <v>0.174582505193386</v>
      </c>
    </row>
    <row r="414" spans="1:3" x14ac:dyDescent="0.3">
      <c r="A414" s="1" t="s">
        <v>7</v>
      </c>
      <c r="B414" s="1">
        <v>0.15718363703358901</v>
      </c>
    </row>
    <row r="415" spans="1:3" x14ac:dyDescent="0.3">
      <c r="A415" s="1" t="s">
        <v>7</v>
      </c>
      <c r="B415" s="1">
        <v>0.15540060116840801</v>
      </c>
    </row>
    <row r="416" spans="1:3" x14ac:dyDescent="0.3">
      <c r="A416" s="1" t="s">
        <v>7</v>
      </c>
      <c r="B416" s="1">
        <v>0.157977419123525</v>
      </c>
    </row>
    <row r="417" spans="1:3" x14ac:dyDescent="0.3">
      <c r="A417" s="1" t="s">
        <v>7</v>
      </c>
      <c r="B417" s="1">
        <v>0.160277271544431</v>
      </c>
    </row>
    <row r="418" spans="1:3" x14ac:dyDescent="0.3">
      <c r="A418" s="1" t="s">
        <v>7</v>
      </c>
      <c r="B418" s="1">
        <v>0.169764353509887</v>
      </c>
    </row>
    <row r="419" spans="1:3" x14ac:dyDescent="0.3">
      <c r="A419" s="1" t="s">
        <v>7</v>
      </c>
      <c r="B419" s="1">
        <v>0.15042021647135201</v>
      </c>
    </row>
    <row r="420" spans="1:3" x14ac:dyDescent="0.3">
      <c r="A420" s="1" t="s">
        <v>7</v>
      </c>
      <c r="B420" s="1">
        <v>0.13033786386372301</v>
      </c>
    </row>
    <row r="421" spans="1:3" x14ac:dyDescent="0.3">
      <c r="A421" s="1" t="s">
        <v>7</v>
      </c>
      <c r="B421" s="1">
        <v>0.12605185363396301</v>
      </c>
    </row>
    <row r="422" spans="1:3" x14ac:dyDescent="0.3">
      <c r="A422" s="1" t="s">
        <v>7</v>
      </c>
      <c r="B422" s="1">
        <v>8.9796082944515701E-2</v>
      </c>
    </row>
    <row r="423" spans="1:3" x14ac:dyDescent="0.3">
      <c r="A423" s="1" t="s">
        <v>7</v>
      </c>
      <c r="B423" s="1">
        <v>6.0003368361922702E-2</v>
      </c>
    </row>
    <row r="424" spans="1:3" x14ac:dyDescent="0.3">
      <c r="A424" s="1" t="s">
        <v>7</v>
      </c>
      <c r="B424" s="1">
        <v>7.6808230844062506E-2</v>
      </c>
    </row>
    <row r="425" spans="1:3" x14ac:dyDescent="0.3">
      <c r="A425" s="1" t="s">
        <v>7</v>
      </c>
      <c r="B425" s="1">
        <v>9.9008015065080099E-2</v>
      </c>
    </row>
    <row r="426" spans="1:3" x14ac:dyDescent="0.3">
      <c r="A426" s="1" t="s">
        <v>7</v>
      </c>
      <c r="B426" s="1">
        <v>0.107763845727817</v>
      </c>
      <c r="C426">
        <f>+AVERAGE(B402:B426)</f>
        <v>0.13337354088502548</v>
      </c>
    </row>
    <row r="427" spans="1:3" x14ac:dyDescent="0.3">
      <c r="A427" s="1" t="s">
        <v>6</v>
      </c>
      <c r="B427" s="1">
        <v>6.7352920231262097</v>
      </c>
    </row>
    <row r="428" spans="1:3" x14ac:dyDescent="0.3">
      <c r="A428" s="1" t="s">
        <v>6</v>
      </c>
      <c r="B428" s="1">
        <v>6.7911575246627498</v>
      </c>
    </row>
    <row r="429" spans="1:3" x14ac:dyDescent="0.3">
      <c r="A429" s="1" t="s">
        <v>6</v>
      </c>
      <c r="B429" s="1">
        <v>6.6650318120526801</v>
      </c>
    </row>
    <row r="430" spans="1:3" x14ac:dyDescent="0.3">
      <c r="A430" s="1" t="s">
        <v>6</v>
      </c>
      <c r="B430" s="1">
        <v>6.2247600028756196</v>
      </c>
    </row>
    <row r="431" spans="1:3" x14ac:dyDescent="0.3">
      <c r="A431" s="1" t="s">
        <v>6</v>
      </c>
      <c r="B431" s="1">
        <v>6.9963821506932797</v>
      </c>
    </row>
    <row r="432" spans="1:3" x14ac:dyDescent="0.3">
      <c r="A432" s="1" t="s">
        <v>6</v>
      </c>
      <c r="B432" s="1">
        <v>6.9569726609955804</v>
      </c>
    </row>
    <row r="433" spans="1:2" x14ac:dyDescent="0.3">
      <c r="A433" s="1" t="s">
        <v>6</v>
      </c>
      <c r="B433" s="1">
        <v>8.0997865795366408</v>
      </c>
    </row>
    <row r="434" spans="1:2" x14ac:dyDescent="0.3">
      <c r="A434" s="1" t="s">
        <v>6</v>
      </c>
      <c r="B434" s="1">
        <v>8.6805407240256898</v>
      </c>
    </row>
    <row r="435" spans="1:2" x14ac:dyDescent="0.3">
      <c r="A435" s="1" t="s">
        <v>6</v>
      </c>
      <c r="B435" s="1">
        <v>8.3236359191982991</v>
      </c>
    </row>
    <row r="436" spans="1:2" x14ac:dyDescent="0.3">
      <c r="A436" s="1" t="s">
        <v>6</v>
      </c>
      <c r="B436" s="1">
        <v>10.3243983088381</v>
      </c>
    </row>
    <row r="437" spans="1:2" x14ac:dyDescent="0.3">
      <c r="A437" s="1" t="s">
        <v>6</v>
      </c>
      <c r="B437" s="1">
        <v>9.52719496152171</v>
      </c>
    </row>
    <row r="438" spans="1:2" x14ac:dyDescent="0.3">
      <c r="A438" s="1" t="s">
        <v>6</v>
      </c>
      <c r="B438" s="1">
        <v>9.9983547512132702</v>
      </c>
    </row>
    <row r="439" spans="1:2" x14ac:dyDescent="0.3">
      <c r="A439" s="1" t="s">
        <v>6</v>
      </c>
      <c r="B439" s="1">
        <v>10.477531075748599</v>
      </c>
    </row>
    <row r="440" spans="1:2" x14ac:dyDescent="0.3">
      <c r="A440" s="1" t="s">
        <v>6</v>
      </c>
      <c r="B440" s="1">
        <v>11.1047071149006</v>
      </c>
    </row>
    <row r="441" spans="1:2" x14ac:dyDescent="0.3">
      <c r="A441" s="1" t="s">
        <v>6</v>
      </c>
      <c r="B441" s="1">
        <v>11.056847673479</v>
      </c>
    </row>
    <row r="442" spans="1:2" x14ac:dyDescent="0.3">
      <c r="A442" s="1" t="s">
        <v>6</v>
      </c>
      <c r="B442" s="1">
        <v>9.5819813727680998</v>
      </c>
    </row>
    <row r="443" spans="1:2" x14ac:dyDescent="0.3">
      <c r="A443" s="1" t="s">
        <v>6</v>
      </c>
      <c r="B443" s="1">
        <v>9.8467442535446406</v>
      </c>
    </row>
    <row r="444" spans="1:2" x14ac:dyDescent="0.3">
      <c r="A444" s="1" t="s">
        <v>6</v>
      </c>
      <c r="B444" s="1">
        <v>10.890132380253</v>
      </c>
    </row>
    <row r="445" spans="1:2" x14ac:dyDescent="0.3">
      <c r="A445" s="1" t="s">
        <v>6</v>
      </c>
      <c r="B445" s="1">
        <v>11.3631244569541</v>
      </c>
    </row>
    <row r="446" spans="1:2" x14ac:dyDescent="0.3">
      <c r="A446" s="1" t="s">
        <v>6</v>
      </c>
      <c r="B446" s="1">
        <v>12.8028589642654</v>
      </c>
    </row>
    <row r="447" spans="1:2" x14ac:dyDescent="0.3">
      <c r="A447" s="1" t="s">
        <v>6</v>
      </c>
      <c r="B447" s="1">
        <v>13.1764161481873</v>
      </c>
    </row>
    <row r="448" spans="1:2" x14ac:dyDescent="0.3">
      <c r="A448" s="1" t="s">
        <v>6</v>
      </c>
      <c r="B448" s="1">
        <v>14.0238156359641</v>
      </c>
    </row>
    <row r="449" spans="1:3" x14ac:dyDescent="0.3">
      <c r="A449" s="1" t="s">
        <v>6</v>
      </c>
      <c r="B449" s="1">
        <v>15.424276060998499</v>
      </c>
    </row>
    <row r="450" spans="1:3" x14ac:dyDescent="0.3">
      <c r="A450" s="1" t="s">
        <v>6</v>
      </c>
      <c r="B450" s="1">
        <v>13.6504078223071</v>
      </c>
    </row>
    <row r="451" spans="1:3" x14ac:dyDescent="0.3">
      <c r="A451" s="1" t="s">
        <v>6</v>
      </c>
      <c r="B451" s="1">
        <v>11.8704808635887</v>
      </c>
      <c r="C451">
        <f>+AVERAGE(B427:B451)</f>
        <v>10.023713249667958</v>
      </c>
    </row>
    <row r="452" spans="1:3" x14ac:dyDescent="0.3">
      <c r="A452" s="1" t="s">
        <v>5</v>
      </c>
      <c r="B452" s="1">
        <v>0.72124148616832195</v>
      </c>
    </row>
    <row r="453" spans="1:3" x14ac:dyDescent="0.3">
      <c r="A453" s="1" t="s">
        <v>5</v>
      </c>
      <c r="B453" s="1">
        <v>0.651928886426835</v>
      </c>
    </row>
    <row r="454" spans="1:3" x14ac:dyDescent="0.3">
      <c r="A454" s="1" t="s">
        <v>5</v>
      </c>
      <c r="B454" s="1">
        <v>0.643419007825212</v>
      </c>
    </row>
    <row r="455" spans="1:3" x14ac:dyDescent="0.3">
      <c r="A455" s="1" t="s">
        <v>5</v>
      </c>
      <c r="B455" s="1">
        <v>0.63410730835103102</v>
      </c>
    </row>
    <row r="456" spans="1:3" x14ac:dyDescent="0.3">
      <c r="A456" s="1" t="s">
        <v>5</v>
      </c>
      <c r="B456" s="1">
        <v>0.72665382937342904</v>
      </c>
    </row>
    <row r="457" spans="1:3" x14ac:dyDescent="0.3">
      <c r="A457" s="1" t="s">
        <v>5</v>
      </c>
      <c r="B457" s="1">
        <v>1.8958431827858599</v>
      </c>
    </row>
    <row r="458" spans="1:3" x14ac:dyDescent="0.3">
      <c r="A458" s="1" t="s">
        <v>5</v>
      </c>
      <c r="B458" s="1">
        <v>1.5696161021131301</v>
      </c>
    </row>
    <row r="459" spans="1:3" x14ac:dyDescent="0.3">
      <c r="A459" s="1" t="s">
        <v>5</v>
      </c>
      <c r="B459" s="1">
        <v>1.4285286663785299</v>
      </c>
    </row>
    <row r="460" spans="1:3" x14ac:dyDescent="0.3">
      <c r="A460" s="1" t="s">
        <v>5</v>
      </c>
      <c r="B460" s="1">
        <v>1.3315993002781199</v>
      </c>
    </row>
    <row r="461" spans="1:3" x14ac:dyDescent="0.3">
      <c r="A461" s="1" t="s">
        <v>5</v>
      </c>
      <c r="B461" s="1">
        <v>1.2589247567833</v>
      </c>
    </row>
    <row r="462" spans="1:3" x14ac:dyDescent="0.3">
      <c r="A462" s="1" t="s">
        <v>5</v>
      </c>
      <c r="B462" s="1">
        <v>0.91591902854474505</v>
      </c>
    </row>
    <row r="463" spans="1:3" x14ac:dyDescent="0.3">
      <c r="A463" s="1" t="s">
        <v>5</v>
      </c>
      <c r="B463" s="1">
        <v>0.77538746592867902</v>
      </c>
    </row>
    <row r="464" spans="1:3" x14ac:dyDescent="0.3">
      <c r="A464" s="1" t="s">
        <v>5</v>
      </c>
      <c r="B464" s="1">
        <v>0.78575367519922201</v>
      </c>
    </row>
    <row r="465" spans="1:3" x14ac:dyDescent="0.3">
      <c r="A465" s="1" t="s">
        <v>5</v>
      </c>
      <c r="B465" s="1">
        <v>0.83443484217463404</v>
      </c>
    </row>
    <row r="466" spans="1:3" x14ac:dyDescent="0.3">
      <c r="A466" s="1" t="s">
        <v>5</v>
      </c>
      <c r="B466" s="1">
        <v>0.95992622660604499</v>
      </c>
    </row>
    <row r="467" spans="1:3" x14ac:dyDescent="0.3">
      <c r="A467" s="1" t="s">
        <v>5</v>
      </c>
      <c r="B467" s="1">
        <v>1.1220446240711299</v>
      </c>
    </row>
    <row r="468" spans="1:3" x14ac:dyDescent="0.3">
      <c r="A468" s="1" t="s">
        <v>5</v>
      </c>
      <c r="B468" s="1">
        <v>0.95577552954470602</v>
      </c>
    </row>
    <row r="469" spans="1:3" x14ac:dyDescent="0.3">
      <c r="A469" s="1" t="s">
        <v>5</v>
      </c>
      <c r="B469" s="1">
        <v>0.88512840297805095</v>
      </c>
    </row>
    <row r="470" spans="1:3" x14ac:dyDescent="0.3">
      <c r="A470" s="1" t="s">
        <v>5</v>
      </c>
      <c r="B470" s="1">
        <v>1.0760482712209201</v>
      </c>
    </row>
    <row r="471" spans="1:3" x14ac:dyDescent="0.3">
      <c r="A471" s="1" t="s">
        <v>5</v>
      </c>
      <c r="B471" s="1">
        <v>1.04248024307831</v>
      </c>
    </row>
    <row r="472" spans="1:3" x14ac:dyDescent="0.3">
      <c r="A472" s="1" t="s">
        <v>5</v>
      </c>
      <c r="B472" s="1">
        <v>0.91127727787002</v>
      </c>
    </row>
    <row r="473" spans="1:3" x14ac:dyDescent="0.3">
      <c r="A473" s="1" t="s">
        <v>5</v>
      </c>
      <c r="B473" s="1">
        <v>0.79244418815012896</v>
      </c>
    </row>
    <row r="474" spans="1:3" x14ac:dyDescent="0.3">
      <c r="A474" s="1" t="s">
        <v>5</v>
      </c>
      <c r="B474" s="1">
        <v>0.99228904198387002</v>
      </c>
    </row>
    <row r="475" spans="1:3" x14ac:dyDescent="0.3">
      <c r="A475" s="1" t="s">
        <v>5</v>
      </c>
      <c r="B475" s="1">
        <v>1.0550728632311499</v>
      </c>
    </row>
    <row r="476" spans="1:3" x14ac:dyDescent="0.3">
      <c r="A476" s="1" t="s">
        <v>5</v>
      </c>
      <c r="B476" s="1">
        <v>1.1486332338745899</v>
      </c>
      <c r="C476">
        <f>+AVERAGE(B452:B476)</f>
        <v>1.0045790976375988</v>
      </c>
    </row>
    <row r="477" spans="1:3" x14ac:dyDescent="0.3">
      <c r="A477" s="1" t="s">
        <v>4</v>
      </c>
      <c r="B477" s="1">
        <v>1.5566642799602E-2</v>
      </c>
    </row>
    <row r="478" spans="1:3" x14ac:dyDescent="0.3">
      <c r="A478" s="1" t="s">
        <v>4</v>
      </c>
      <c r="B478" s="1">
        <v>2.8562943558175499E-2</v>
      </c>
    </row>
    <row r="479" spans="1:3" x14ac:dyDescent="0.3">
      <c r="A479" s="1" t="s">
        <v>4</v>
      </c>
      <c r="B479" s="1">
        <v>2.6940198623711002E-2</v>
      </c>
    </row>
    <row r="480" spans="1:3" x14ac:dyDescent="0.3">
      <c r="A480" s="1" t="s">
        <v>4</v>
      </c>
      <c r="B480" s="1">
        <v>1.7947340566715399E-2</v>
      </c>
    </row>
    <row r="481" spans="1:2" x14ac:dyDescent="0.3">
      <c r="A481" s="1" t="s">
        <v>4</v>
      </c>
      <c r="B481" s="1">
        <v>1.5809449646721801E-2</v>
      </c>
    </row>
    <row r="482" spans="1:2" x14ac:dyDescent="0.3">
      <c r="A482" s="1" t="s">
        <v>4</v>
      </c>
      <c r="B482" s="1">
        <v>1.8730982412551299E-2</v>
      </c>
    </row>
    <row r="483" spans="1:2" x14ac:dyDescent="0.3">
      <c r="A483" s="1" t="s">
        <v>4</v>
      </c>
      <c r="B483" s="1">
        <v>2.5577458599519699E-2</v>
      </c>
    </row>
    <row r="484" spans="1:2" x14ac:dyDescent="0.3">
      <c r="A484" s="1" t="s">
        <v>4</v>
      </c>
      <c r="B484" s="1">
        <v>3.0218469705670901E-2</v>
      </c>
    </row>
    <row r="485" spans="1:2" x14ac:dyDescent="0.3">
      <c r="A485" s="1" t="s">
        <v>4</v>
      </c>
      <c r="B485" s="1">
        <v>3.39237865439651E-2</v>
      </c>
    </row>
    <row r="486" spans="1:2" x14ac:dyDescent="0.3">
      <c r="A486" s="1" t="s">
        <v>4</v>
      </c>
      <c r="B486" s="1">
        <v>3.0145273696029599E-2</v>
      </c>
    </row>
    <row r="487" spans="1:2" x14ac:dyDescent="0.3">
      <c r="A487" s="1" t="s">
        <v>4</v>
      </c>
      <c r="B487" s="1">
        <v>2.9248966202451699E-2</v>
      </c>
    </row>
    <row r="488" spans="1:2" x14ac:dyDescent="0.3">
      <c r="A488" s="1" t="s">
        <v>4</v>
      </c>
      <c r="B488" s="1">
        <v>3.4199885971702003E-2</v>
      </c>
    </row>
    <row r="489" spans="1:2" x14ac:dyDescent="0.3">
      <c r="A489" s="1" t="s">
        <v>4</v>
      </c>
      <c r="B489" s="1">
        <v>4.0488372024867297E-2</v>
      </c>
    </row>
    <row r="490" spans="1:2" x14ac:dyDescent="0.3">
      <c r="A490" s="1" t="s">
        <v>4</v>
      </c>
      <c r="B490" s="1">
        <v>4.5351200388686203E-2</v>
      </c>
    </row>
    <row r="491" spans="1:2" x14ac:dyDescent="0.3">
      <c r="A491" s="1" t="s">
        <v>4</v>
      </c>
      <c r="B491" s="1">
        <v>7.6249066931655604E-2</v>
      </c>
    </row>
    <row r="492" spans="1:2" x14ac:dyDescent="0.3">
      <c r="A492" s="1" t="s">
        <v>4</v>
      </c>
      <c r="B492" s="1">
        <v>7.48065192301101E-2</v>
      </c>
    </row>
    <row r="493" spans="1:2" x14ac:dyDescent="0.3">
      <c r="A493" s="1" t="s">
        <v>4</v>
      </c>
      <c r="B493" s="1">
        <v>7.6552664009787899E-2</v>
      </c>
    </row>
    <row r="494" spans="1:2" x14ac:dyDescent="0.3">
      <c r="A494" s="1" t="s">
        <v>4</v>
      </c>
      <c r="B494" s="1">
        <v>9.0106982703923102E-2</v>
      </c>
    </row>
    <row r="495" spans="1:2" x14ac:dyDescent="0.3">
      <c r="A495" s="1" t="s">
        <v>4</v>
      </c>
      <c r="B495" s="1">
        <v>8.66803594795751E-2</v>
      </c>
    </row>
    <row r="496" spans="1:2" x14ac:dyDescent="0.3">
      <c r="A496" s="1" t="s">
        <v>4</v>
      </c>
      <c r="B496" s="1">
        <v>8.5750850660671604E-2</v>
      </c>
    </row>
    <row r="497" spans="1:3" x14ac:dyDescent="0.3">
      <c r="A497" s="1" t="s">
        <v>4</v>
      </c>
      <c r="B497" s="1">
        <v>9.6709910239756905E-2</v>
      </c>
    </row>
    <row r="498" spans="1:3" x14ac:dyDescent="0.3">
      <c r="A498" s="1" t="s">
        <v>4</v>
      </c>
      <c r="B498" s="1">
        <v>0.105055336492197</v>
      </c>
    </row>
    <row r="499" spans="1:3" x14ac:dyDescent="0.3">
      <c r="A499" s="1" t="s">
        <v>4</v>
      </c>
      <c r="B499" s="1">
        <v>0.12687493367317901</v>
      </c>
    </row>
    <row r="500" spans="1:3" x14ac:dyDescent="0.3">
      <c r="A500" s="1" t="s">
        <v>4</v>
      </c>
      <c r="B500" s="1">
        <v>0.111846653062437</v>
      </c>
    </row>
    <row r="501" spans="1:3" x14ac:dyDescent="0.3">
      <c r="A501" s="1" t="s">
        <v>4</v>
      </c>
      <c r="B501" s="1">
        <v>0.115309420280122</v>
      </c>
      <c r="C501">
        <f>+AVERAGE(B477:B501)</f>
        <v>5.7546146700151388E-2</v>
      </c>
    </row>
    <row r="502" spans="1:3" x14ac:dyDescent="0.3">
      <c r="A502" s="1" t="s">
        <v>3</v>
      </c>
      <c r="B502" s="1">
        <v>0.75708738208723403</v>
      </c>
    </row>
    <row r="503" spans="1:3" x14ac:dyDescent="0.3">
      <c r="A503" s="1" t="s">
        <v>3</v>
      </c>
      <c r="B503" s="1">
        <v>0.79571529988886602</v>
      </c>
    </row>
    <row r="504" spans="1:3" x14ac:dyDescent="0.3">
      <c r="A504" s="1" t="s">
        <v>3</v>
      </c>
      <c r="B504" s="1">
        <v>0.78995174066624096</v>
      </c>
    </row>
    <row r="505" spans="1:3" x14ac:dyDescent="0.3">
      <c r="A505" s="1" t="s">
        <v>3</v>
      </c>
      <c r="B505" s="1">
        <v>0.80646080670366205</v>
      </c>
    </row>
    <row r="506" spans="1:3" x14ac:dyDescent="0.3">
      <c r="A506" s="1" t="s">
        <v>3</v>
      </c>
      <c r="B506" s="1">
        <v>0.72094649432332902</v>
      </c>
    </row>
    <row r="507" spans="1:3" x14ac:dyDescent="0.3">
      <c r="A507" s="1" t="s">
        <v>3</v>
      </c>
      <c r="B507" s="1">
        <v>0.535163545191778</v>
      </c>
    </row>
    <row r="508" spans="1:3" x14ac:dyDescent="0.3">
      <c r="A508" s="1" t="s">
        <v>3</v>
      </c>
      <c r="B508" s="1">
        <v>0.442805726523607</v>
      </c>
    </row>
    <row r="509" spans="1:3" x14ac:dyDescent="0.3">
      <c r="A509" s="1" t="s">
        <v>3</v>
      </c>
      <c r="B509" s="1">
        <v>0.42221719524621998</v>
      </c>
    </row>
    <row r="510" spans="1:3" x14ac:dyDescent="0.3">
      <c r="A510" s="1" t="s">
        <v>3</v>
      </c>
      <c r="B510" s="1">
        <v>0.63926561248969105</v>
      </c>
    </row>
    <row r="511" spans="1:3" x14ac:dyDescent="0.3">
      <c r="A511" s="1" t="s">
        <v>3</v>
      </c>
      <c r="B511" s="1">
        <v>0.61028502902281601</v>
      </c>
    </row>
    <row r="512" spans="1:3" x14ac:dyDescent="0.3">
      <c r="A512" s="1" t="s">
        <v>3</v>
      </c>
      <c r="B512" s="1">
        <v>0.490740501393226</v>
      </c>
    </row>
    <row r="513" spans="1:3" x14ac:dyDescent="0.3">
      <c r="A513" s="1" t="s">
        <v>3</v>
      </c>
      <c r="B513" s="1">
        <v>0.50510155584976002</v>
      </c>
    </row>
    <row r="514" spans="1:3" x14ac:dyDescent="0.3">
      <c r="A514" s="1" t="s">
        <v>3</v>
      </c>
      <c r="B514" s="1">
        <v>0.49343854772073198</v>
      </c>
    </row>
    <row r="515" spans="1:3" x14ac:dyDescent="0.3">
      <c r="A515" s="1" t="s">
        <v>3</v>
      </c>
      <c r="B515" s="1">
        <v>0.451351280432292</v>
      </c>
    </row>
    <row r="516" spans="1:3" x14ac:dyDescent="0.3">
      <c r="A516" s="1" t="s">
        <v>3</v>
      </c>
      <c r="B516" s="1">
        <v>0.422392916919339</v>
      </c>
    </row>
    <row r="517" spans="1:3" x14ac:dyDescent="0.3">
      <c r="A517" s="1" t="s">
        <v>3</v>
      </c>
      <c r="B517" s="1">
        <v>0.41994856688913501</v>
      </c>
    </row>
    <row r="518" spans="1:3" x14ac:dyDescent="0.3">
      <c r="A518" s="1" t="s">
        <v>3</v>
      </c>
      <c r="B518" s="1">
        <v>0.41310818200892402</v>
      </c>
    </row>
    <row r="519" spans="1:3" x14ac:dyDescent="0.3">
      <c r="A519" s="1" t="s">
        <v>3</v>
      </c>
      <c r="B519" s="1">
        <v>0.38161690895397898</v>
      </c>
    </row>
    <row r="520" spans="1:3" x14ac:dyDescent="0.3">
      <c r="A520" s="1" t="s">
        <v>3</v>
      </c>
      <c r="B520" s="1">
        <v>0.39057663806042398</v>
      </c>
    </row>
    <row r="521" spans="1:3" x14ac:dyDescent="0.3">
      <c r="A521" s="1" t="s">
        <v>3</v>
      </c>
      <c r="B521" s="1">
        <v>0.40924687385189701</v>
      </c>
    </row>
    <row r="522" spans="1:3" x14ac:dyDescent="0.3">
      <c r="A522" s="1" t="s">
        <v>3</v>
      </c>
      <c r="B522" s="1">
        <v>0.42629016162468503</v>
      </c>
    </row>
    <row r="523" spans="1:3" x14ac:dyDescent="0.3">
      <c r="A523" s="1" t="s">
        <v>3</v>
      </c>
      <c r="B523" s="1">
        <v>0.398612260944612</v>
      </c>
    </row>
    <row r="524" spans="1:3" x14ac:dyDescent="0.3">
      <c r="A524" s="1" t="s">
        <v>3</v>
      </c>
      <c r="B524" s="1">
        <v>0.434292552000758</v>
      </c>
    </row>
    <row r="525" spans="1:3" x14ac:dyDescent="0.3">
      <c r="A525" s="1" t="s">
        <v>3</v>
      </c>
      <c r="B525" s="1">
        <v>0.38134195776089502</v>
      </c>
    </row>
    <row r="526" spans="1:3" x14ac:dyDescent="0.3">
      <c r="A526" s="1" t="s">
        <v>3</v>
      </c>
      <c r="B526" s="1">
        <v>0.39721909109987902</v>
      </c>
      <c r="C526">
        <f>+AVERAGE(B502:B526)</f>
        <v>0.5174070731061593</v>
      </c>
    </row>
    <row r="527" spans="1:3" x14ac:dyDescent="0.3">
      <c r="A527" s="1" t="s">
        <v>2</v>
      </c>
      <c r="B527" s="1">
        <v>0.40913517089802698</v>
      </c>
    </row>
    <row r="528" spans="1:3" x14ac:dyDescent="0.3">
      <c r="A528" s="1" t="s">
        <v>2</v>
      </c>
      <c r="B528" s="1">
        <v>0.40614108412626698</v>
      </c>
    </row>
    <row r="529" spans="1:2" x14ac:dyDescent="0.3">
      <c r="A529" s="1" t="s">
        <v>2</v>
      </c>
      <c r="B529" s="1">
        <v>0.34898654738305401</v>
      </c>
    </row>
    <row r="530" spans="1:2" x14ac:dyDescent="0.3">
      <c r="A530" s="1" t="s">
        <v>2</v>
      </c>
      <c r="B530" s="1">
        <v>0.32907990429982698</v>
      </c>
    </row>
    <row r="531" spans="1:2" x14ac:dyDescent="0.3">
      <c r="A531" s="1" t="s">
        <v>2</v>
      </c>
      <c r="B531" s="1">
        <v>0.31016075231753398</v>
      </c>
    </row>
    <row r="532" spans="1:2" x14ac:dyDescent="0.3">
      <c r="A532" s="1" t="s">
        <v>2</v>
      </c>
      <c r="B532" s="1">
        <v>0.30686501071119998</v>
      </c>
    </row>
    <row r="533" spans="1:2" x14ac:dyDescent="0.3">
      <c r="A533" s="1" t="s">
        <v>2</v>
      </c>
      <c r="B533" s="1">
        <v>0.30006087865525199</v>
      </c>
    </row>
    <row r="534" spans="1:2" x14ac:dyDescent="0.3">
      <c r="A534" s="1" t="s">
        <v>2</v>
      </c>
      <c r="B534" s="1">
        <v>0.27965291734680198</v>
      </c>
    </row>
    <row r="535" spans="1:2" x14ac:dyDescent="0.3">
      <c r="A535" s="1" t="s">
        <v>2</v>
      </c>
      <c r="B535" s="1">
        <v>0.315776452367794</v>
      </c>
    </row>
    <row r="536" spans="1:2" x14ac:dyDescent="0.3">
      <c r="A536" s="1" t="s">
        <v>2</v>
      </c>
      <c r="B536" s="1">
        <v>0.272096051527073</v>
      </c>
    </row>
    <row r="537" spans="1:2" x14ac:dyDescent="0.3">
      <c r="A537" s="1" t="s">
        <v>2</v>
      </c>
      <c r="B537" s="1">
        <v>0.252235166345186</v>
      </c>
    </row>
    <row r="538" spans="1:2" x14ac:dyDescent="0.3">
      <c r="A538" s="1" t="s">
        <v>2</v>
      </c>
      <c r="B538" s="1">
        <v>0.27024162482702602</v>
      </c>
    </row>
    <row r="539" spans="1:2" x14ac:dyDescent="0.3">
      <c r="A539" s="1" t="s">
        <v>2</v>
      </c>
      <c r="B539" s="1">
        <v>0.261543217054032</v>
      </c>
    </row>
    <row r="540" spans="1:2" x14ac:dyDescent="0.3">
      <c r="A540" s="1" t="s">
        <v>2</v>
      </c>
      <c r="B540" s="1">
        <v>0.240423760200625</v>
      </c>
    </row>
    <row r="541" spans="1:2" x14ac:dyDescent="0.3">
      <c r="A541" s="1" t="s">
        <v>2</v>
      </c>
      <c r="B541" s="1">
        <v>0.26553684063960797</v>
      </c>
    </row>
    <row r="542" spans="1:2" x14ac:dyDescent="0.3">
      <c r="A542" s="1" t="s">
        <v>2</v>
      </c>
      <c r="B542" s="1">
        <v>0.29835249839542899</v>
      </c>
    </row>
    <row r="543" spans="1:2" x14ac:dyDescent="0.3">
      <c r="A543" s="1" t="s">
        <v>2</v>
      </c>
      <c r="B543" s="1">
        <v>0.279255530648576</v>
      </c>
    </row>
    <row r="544" spans="1:2" x14ac:dyDescent="0.3">
      <c r="A544" s="1" t="s">
        <v>2</v>
      </c>
      <c r="B544" s="1">
        <v>0.260509412442751</v>
      </c>
    </row>
    <row r="545" spans="1:3" x14ac:dyDescent="0.3">
      <c r="A545" s="1" t="s">
        <v>2</v>
      </c>
      <c r="B545" s="1">
        <v>0.24008814746329599</v>
      </c>
    </row>
    <row r="546" spans="1:3" x14ac:dyDescent="0.3">
      <c r="A546" s="1" t="s">
        <v>2</v>
      </c>
      <c r="B546" s="1">
        <v>0.22249556083250199</v>
      </c>
    </row>
    <row r="547" spans="1:3" x14ac:dyDescent="0.3">
      <c r="A547" s="1" t="s">
        <v>2</v>
      </c>
      <c r="B547" s="1">
        <v>0.20113955539571199</v>
      </c>
    </row>
    <row r="548" spans="1:3" x14ac:dyDescent="0.3">
      <c r="A548" s="1" t="s">
        <v>2</v>
      </c>
      <c r="B548" s="1">
        <v>0.18186989380089799</v>
      </c>
    </row>
    <row r="549" spans="1:3" x14ac:dyDescent="0.3">
      <c r="A549" s="1" t="s">
        <v>2</v>
      </c>
      <c r="B549" s="1">
        <v>0.16320204258000401</v>
      </c>
    </row>
    <row r="550" spans="1:3" x14ac:dyDescent="0.3">
      <c r="A550" s="1" t="s">
        <v>2</v>
      </c>
      <c r="B550" s="1">
        <v>0.217780673020847</v>
      </c>
    </row>
    <row r="551" spans="1:3" x14ac:dyDescent="0.3">
      <c r="A551" s="1" t="s">
        <v>2</v>
      </c>
      <c r="B551" s="1">
        <v>0.22992122655476399</v>
      </c>
      <c r="C551">
        <f>+AVERAGE(B527:B551)</f>
        <v>0.27450199679336346</v>
      </c>
    </row>
    <row r="552" spans="1:3" x14ac:dyDescent="0.3">
      <c r="A552" s="1" t="s">
        <v>1</v>
      </c>
      <c r="B552" s="1">
        <v>1.3424761241390699</v>
      </c>
    </row>
    <row r="553" spans="1:3" x14ac:dyDescent="0.3">
      <c r="A553" s="1" t="s">
        <v>1</v>
      </c>
      <c r="B553" s="1">
        <v>1.0411339782978599</v>
      </c>
    </row>
    <row r="554" spans="1:3" x14ac:dyDescent="0.3">
      <c r="A554" s="1" t="s">
        <v>1</v>
      </c>
      <c r="B554" s="1">
        <v>1.0275399377710901</v>
      </c>
    </row>
    <row r="555" spans="1:3" x14ac:dyDescent="0.3">
      <c r="A555" s="1" t="s">
        <v>1</v>
      </c>
      <c r="B555" s="1">
        <v>1.0555187124827801</v>
      </c>
    </row>
    <row r="556" spans="1:3" x14ac:dyDescent="0.3">
      <c r="A556" s="1" t="s">
        <v>1</v>
      </c>
      <c r="B556" s="1">
        <v>0.93806618445503898</v>
      </c>
    </row>
    <row r="557" spans="1:3" x14ac:dyDescent="0.3">
      <c r="A557" s="1" t="s">
        <v>1</v>
      </c>
      <c r="B557" s="1">
        <v>0.62699660830758897</v>
      </c>
    </row>
    <row r="558" spans="1:3" x14ac:dyDescent="0.3">
      <c r="A558" s="1" t="s">
        <v>1</v>
      </c>
      <c r="B558" s="1">
        <v>0.60126724633110995</v>
      </c>
    </row>
    <row r="559" spans="1:3" x14ac:dyDescent="0.3">
      <c r="A559" s="1" t="s">
        <v>1</v>
      </c>
      <c r="B559" s="1">
        <v>0.62175161674177604</v>
      </c>
    </row>
    <row r="560" spans="1:3" x14ac:dyDescent="0.3">
      <c r="A560" s="1" t="s">
        <v>1</v>
      </c>
      <c r="B560" s="1">
        <v>0.651517114747723</v>
      </c>
    </row>
    <row r="561" spans="1:3" x14ac:dyDescent="0.3">
      <c r="A561" s="1" t="s">
        <v>1</v>
      </c>
      <c r="B561" s="1">
        <v>1.35174167814254</v>
      </c>
    </row>
    <row r="562" spans="1:3" x14ac:dyDescent="0.3">
      <c r="A562" s="1" t="s">
        <v>1</v>
      </c>
      <c r="B562" s="1">
        <v>1.29964762665379</v>
      </c>
    </row>
    <row r="563" spans="1:3" x14ac:dyDescent="0.3">
      <c r="A563" s="1" t="s">
        <v>1</v>
      </c>
      <c r="B563" s="1">
        <v>1.4173016189350101</v>
      </c>
    </row>
    <row r="564" spans="1:3" x14ac:dyDescent="0.3">
      <c r="A564" s="1" t="s">
        <v>1</v>
      </c>
      <c r="B564" s="1">
        <v>1.42288274079939</v>
      </c>
    </row>
    <row r="565" spans="1:3" x14ac:dyDescent="0.3">
      <c r="A565" s="1" t="s">
        <v>1</v>
      </c>
      <c r="B565" s="1">
        <v>1.56657940260133</v>
      </c>
    </row>
    <row r="566" spans="1:3" x14ac:dyDescent="0.3">
      <c r="A566" s="1" t="s">
        <v>1</v>
      </c>
      <c r="B566" s="1">
        <v>1.6016424275263399</v>
      </c>
    </row>
    <row r="567" spans="1:3" x14ac:dyDescent="0.3">
      <c r="A567" s="1" t="s">
        <v>1</v>
      </c>
      <c r="B567" s="1">
        <v>1.46890617750532</v>
      </c>
    </row>
    <row r="568" spans="1:3" x14ac:dyDescent="0.3">
      <c r="A568" s="1" t="s">
        <v>1</v>
      </c>
      <c r="B568" s="1">
        <v>1.5168206062095899</v>
      </c>
    </row>
    <row r="569" spans="1:3" x14ac:dyDescent="0.3">
      <c r="A569" s="1" t="s">
        <v>1</v>
      </c>
      <c r="B569" s="1">
        <v>1.4725576247291401</v>
      </c>
    </row>
    <row r="570" spans="1:3" x14ac:dyDescent="0.3">
      <c r="A570" s="1" t="s">
        <v>1</v>
      </c>
      <c r="B570" s="1">
        <v>1.47331423952061</v>
      </c>
    </row>
    <row r="571" spans="1:3" x14ac:dyDescent="0.3">
      <c r="A571" s="1" t="s">
        <v>1</v>
      </c>
      <c r="B571" s="1">
        <v>1.4310520038780401</v>
      </c>
    </row>
    <row r="572" spans="1:3" x14ac:dyDescent="0.3">
      <c r="A572" s="1" t="s">
        <v>1</v>
      </c>
      <c r="B572" s="1">
        <v>1.5732340013036099</v>
      </c>
    </row>
    <row r="573" spans="1:3" x14ac:dyDescent="0.3">
      <c r="A573" s="1" t="s">
        <v>1</v>
      </c>
      <c r="B573" s="1">
        <v>1.71464731576995</v>
      </c>
    </row>
    <row r="574" spans="1:3" x14ac:dyDescent="0.3">
      <c r="A574" s="1" t="s">
        <v>1</v>
      </c>
      <c r="B574" s="1">
        <v>1.8054675220682499</v>
      </c>
    </row>
    <row r="575" spans="1:3" x14ac:dyDescent="0.3">
      <c r="A575" s="1" t="s">
        <v>1</v>
      </c>
      <c r="B575" s="1">
        <v>1.8786395323162</v>
      </c>
    </row>
    <row r="576" spans="1:3" x14ac:dyDescent="0.3">
      <c r="A576" s="1" t="s">
        <v>1</v>
      </c>
      <c r="B576" s="1">
        <v>1.7959832375029601</v>
      </c>
      <c r="C576">
        <f>+AVERAGE(B552:B576)</f>
        <v>1.3078674111494442</v>
      </c>
    </row>
  </sheetData>
  <conditionalFormatting sqref="M4:M26">
    <cfRule type="cellIs" dxfId="0" priority="2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3158-E60D-4FF8-9D97-95EC5D07D10D}">
  <dimension ref="A4:C46"/>
  <sheetViews>
    <sheetView topLeftCell="A11" workbookViewId="0">
      <selection activeCell="A24" sqref="A24:A46"/>
    </sheetView>
  </sheetViews>
  <sheetFormatPr defaultRowHeight="14.4" x14ac:dyDescent="0.3"/>
  <cols>
    <col min="1" max="1" width="10.77734375" bestFit="1" customWidth="1"/>
    <col min="2" max="2" width="14.21875" customWidth="1"/>
  </cols>
  <sheetData>
    <row r="4" spans="1:2" x14ac:dyDescent="0.3">
      <c r="A4" t="s">
        <v>27</v>
      </c>
      <c r="B4" t="s">
        <v>32</v>
      </c>
    </row>
    <row r="5" spans="1:2" x14ac:dyDescent="0.3">
      <c r="A5" t="s">
        <v>26</v>
      </c>
      <c r="B5" t="s">
        <v>30</v>
      </c>
    </row>
    <row r="6" spans="1:2" x14ac:dyDescent="0.3">
      <c r="A6" t="s">
        <v>25</v>
      </c>
      <c r="B6" t="s">
        <v>30</v>
      </c>
    </row>
    <row r="7" spans="1:2" x14ac:dyDescent="0.3">
      <c r="A7" t="s">
        <v>28</v>
      </c>
      <c r="B7" t="s">
        <v>30</v>
      </c>
    </row>
    <row r="8" spans="1:2" x14ac:dyDescent="0.3">
      <c r="A8" t="s">
        <v>29</v>
      </c>
      <c r="B8" t="s">
        <v>31</v>
      </c>
    </row>
    <row r="9" spans="1:2" x14ac:dyDescent="0.3">
      <c r="A9" t="s">
        <v>34</v>
      </c>
      <c r="B9" t="s">
        <v>33</v>
      </c>
    </row>
    <row r="10" spans="1:2" x14ac:dyDescent="0.3">
      <c r="A10" t="s">
        <v>35</v>
      </c>
      <c r="B10" t="s">
        <v>36</v>
      </c>
    </row>
    <row r="11" spans="1:2" x14ac:dyDescent="0.3">
      <c r="A11" t="s">
        <v>37</v>
      </c>
      <c r="B11" t="s">
        <v>38</v>
      </c>
    </row>
    <row r="12" spans="1:2" x14ac:dyDescent="0.3">
      <c r="A12" t="s">
        <v>39</v>
      </c>
      <c r="B12" t="s">
        <v>40</v>
      </c>
    </row>
    <row r="13" spans="1:2" x14ac:dyDescent="0.3">
      <c r="A13" t="s">
        <v>41</v>
      </c>
      <c r="B13" t="s">
        <v>42</v>
      </c>
    </row>
    <row r="14" spans="1:2" x14ac:dyDescent="0.3">
      <c r="A14" t="s">
        <v>43</v>
      </c>
      <c r="B14" t="s">
        <v>48</v>
      </c>
    </row>
    <row r="15" spans="1:2" x14ac:dyDescent="0.3">
      <c r="A15" t="s">
        <v>44</v>
      </c>
      <c r="B15" t="s">
        <v>49</v>
      </c>
    </row>
    <row r="16" spans="1:2" x14ac:dyDescent="0.3">
      <c r="A16" t="s">
        <v>45</v>
      </c>
      <c r="B16" t="s">
        <v>47</v>
      </c>
    </row>
    <row r="17" spans="1:3" x14ac:dyDescent="0.3">
      <c r="A17" t="s">
        <v>46</v>
      </c>
      <c r="B17" t="s">
        <v>47</v>
      </c>
    </row>
    <row r="21" spans="1:3" x14ac:dyDescent="0.3">
      <c r="A21" t="s">
        <v>50</v>
      </c>
    </row>
    <row r="23" spans="1:3" x14ac:dyDescent="0.3">
      <c r="A23" t="s">
        <v>53</v>
      </c>
    </row>
    <row r="24" spans="1:3" x14ac:dyDescent="0.3">
      <c r="A24" s="5" t="s">
        <v>24</v>
      </c>
      <c r="B24" s="5" t="s">
        <v>54</v>
      </c>
      <c r="C24" s="9" t="s">
        <v>77</v>
      </c>
    </row>
    <row r="25" spans="1:3" x14ac:dyDescent="0.3">
      <c r="A25" s="5" t="s">
        <v>23</v>
      </c>
      <c r="B25" s="5" t="s">
        <v>55</v>
      </c>
      <c r="C25" s="9"/>
    </row>
    <row r="26" spans="1:3" x14ac:dyDescent="0.3">
      <c r="A26" s="5" t="s">
        <v>22</v>
      </c>
      <c r="B26" s="5" t="s">
        <v>56</v>
      </c>
      <c r="C26" s="9"/>
    </row>
    <row r="27" spans="1:3" x14ac:dyDescent="0.3">
      <c r="A27" s="5" t="s">
        <v>21</v>
      </c>
      <c r="B27" s="5" t="s">
        <v>57</v>
      </c>
      <c r="C27" s="9"/>
    </row>
    <row r="28" spans="1:3" x14ac:dyDescent="0.3">
      <c r="A28" s="5" t="s">
        <v>20</v>
      </c>
      <c r="B28" s="5" t="s">
        <v>58</v>
      </c>
      <c r="C28" s="9"/>
    </row>
    <row r="29" spans="1:3" x14ac:dyDescent="0.3">
      <c r="A29" s="5" t="s">
        <v>19</v>
      </c>
      <c r="B29" s="5" t="s">
        <v>59</v>
      </c>
      <c r="C29" s="9"/>
    </row>
    <row r="30" spans="1:3" x14ac:dyDescent="0.3">
      <c r="A30" s="5" t="s">
        <v>18</v>
      </c>
      <c r="B30" s="5" t="s">
        <v>60</v>
      </c>
      <c r="C30" s="9"/>
    </row>
    <row r="31" spans="1:3" x14ac:dyDescent="0.3">
      <c r="A31" s="5" t="s">
        <v>17</v>
      </c>
      <c r="B31" s="5" t="s">
        <v>61</v>
      </c>
      <c r="C31" s="9"/>
    </row>
    <row r="32" spans="1:3" x14ac:dyDescent="0.3">
      <c r="A32" s="8" t="s">
        <v>16</v>
      </c>
      <c r="B32" s="8" t="s">
        <v>62</v>
      </c>
      <c r="C32" s="10" t="s">
        <v>78</v>
      </c>
    </row>
    <row r="33" spans="1:3" x14ac:dyDescent="0.3">
      <c r="A33" s="8" t="s">
        <v>15</v>
      </c>
      <c r="B33" s="8" t="s">
        <v>63</v>
      </c>
      <c r="C33" s="10"/>
    </row>
    <row r="34" spans="1:3" x14ac:dyDescent="0.3">
      <c r="A34" s="8" t="s">
        <v>14</v>
      </c>
      <c r="B34" s="8" t="s">
        <v>64</v>
      </c>
      <c r="C34" s="10"/>
    </row>
    <row r="35" spans="1:3" x14ac:dyDescent="0.3">
      <c r="A35" s="8" t="s">
        <v>13</v>
      </c>
      <c r="B35" s="8" t="s">
        <v>65</v>
      </c>
      <c r="C35" s="10"/>
    </row>
    <row r="36" spans="1:3" x14ac:dyDescent="0.3">
      <c r="A36" s="8" t="s">
        <v>12</v>
      </c>
      <c r="B36" s="8" t="s">
        <v>66</v>
      </c>
      <c r="C36" s="10"/>
    </row>
    <row r="37" spans="1:3" x14ac:dyDescent="0.3">
      <c r="A37" s="8" t="s">
        <v>11</v>
      </c>
      <c r="B37" s="8" t="s">
        <v>67</v>
      </c>
      <c r="C37" s="10"/>
    </row>
    <row r="38" spans="1:3" x14ac:dyDescent="0.3">
      <c r="A38" s="8" t="s">
        <v>9</v>
      </c>
      <c r="B38" s="8" t="s">
        <v>68</v>
      </c>
      <c r="C38" s="10"/>
    </row>
    <row r="39" spans="1:3" x14ac:dyDescent="0.3">
      <c r="A39" s="1" t="s">
        <v>8</v>
      </c>
      <c r="B39" s="1" t="s">
        <v>69</v>
      </c>
      <c r="C39" s="9" t="s">
        <v>79</v>
      </c>
    </row>
    <row r="40" spans="1:3" x14ac:dyDescent="0.3">
      <c r="A40" s="1" t="s">
        <v>7</v>
      </c>
      <c r="B40" s="1" t="s">
        <v>70</v>
      </c>
      <c r="C40" s="9"/>
    </row>
    <row r="41" spans="1:3" x14ac:dyDescent="0.3">
      <c r="A41" s="1" t="s">
        <v>6</v>
      </c>
      <c r="B41" s="1" t="s">
        <v>71</v>
      </c>
      <c r="C41" s="9"/>
    </row>
    <row r="42" spans="1:3" x14ac:dyDescent="0.3">
      <c r="A42" s="1" t="s">
        <v>5</v>
      </c>
      <c r="B42" s="1" t="s">
        <v>72</v>
      </c>
      <c r="C42" s="9"/>
    </row>
    <row r="43" spans="1:3" x14ac:dyDescent="0.3">
      <c r="A43" s="1" t="s">
        <v>4</v>
      </c>
      <c r="B43" s="1" t="s">
        <v>73</v>
      </c>
      <c r="C43" s="9"/>
    </row>
    <row r="44" spans="1:3" x14ac:dyDescent="0.3">
      <c r="A44" s="1" t="s">
        <v>3</v>
      </c>
      <c r="B44" s="1" t="s">
        <v>74</v>
      </c>
      <c r="C44" s="9"/>
    </row>
    <row r="45" spans="1:3" x14ac:dyDescent="0.3">
      <c r="A45" s="1" t="s">
        <v>2</v>
      </c>
      <c r="B45" s="1" t="s">
        <v>75</v>
      </c>
      <c r="C45" s="9"/>
    </row>
    <row r="46" spans="1:3" x14ac:dyDescent="0.3">
      <c r="A46" s="1" t="s">
        <v>1</v>
      </c>
      <c r="B46" s="1" t="s">
        <v>76</v>
      </c>
      <c r="C46" s="9"/>
    </row>
  </sheetData>
  <mergeCells count="3">
    <mergeCell ref="C24:C31"/>
    <mergeCell ref="C32:C38"/>
    <mergeCell ref="C39:C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A096-EDB7-4C06-938A-3FB728BEC1B9}">
  <dimension ref="A1:P51"/>
  <sheetViews>
    <sheetView workbookViewId="0">
      <selection sqref="A1:P1"/>
    </sheetView>
  </sheetViews>
  <sheetFormatPr defaultRowHeight="14.4" x14ac:dyDescent="0.3"/>
  <sheetData>
    <row r="1" spans="1:16" x14ac:dyDescent="0.3">
      <c r="A1" t="s">
        <v>52</v>
      </c>
      <c r="B1" t="s">
        <v>51</v>
      </c>
      <c r="C1" t="s">
        <v>27</v>
      </c>
      <c r="D1" t="s">
        <v>26</v>
      </c>
      <c r="E1" t="s">
        <v>25</v>
      </c>
      <c r="F1" t="s">
        <v>28</v>
      </c>
      <c r="G1" t="s">
        <v>29</v>
      </c>
      <c r="H1" t="s">
        <v>34</v>
      </c>
      <c r="I1" t="s">
        <v>35</v>
      </c>
      <c r="J1" t="s">
        <v>37</v>
      </c>
      <c r="K1" t="s">
        <v>39</v>
      </c>
      <c r="L1" t="s">
        <v>41</v>
      </c>
      <c r="M1" t="s">
        <v>43</v>
      </c>
      <c r="N1" t="s">
        <v>44</v>
      </c>
      <c r="O1" t="s">
        <v>45</v>
      </c>
      <c r="P1" t="s">
        <v>46</v>
      </c>
    </row>
    <row r="2" spans="1:16" x14ac:dyDescent="0.3">
      <c r="A2" s="4" t="s">
        <v>10</v>
      </c>
      <c r="B2" s="4">
        <v>2000</v>
      </c>
      <c r="C2" s="4">
        <v>8.3857670129433792</v>
      </c>
      <c r="D2">
        <v>78.400000000000006</v>
      </c>
      <c r="E2" s="2">
        <v>18</v>
      </c>
      <c r="F2">
        <v>6.3</v>
      </c>
      <c r="G2">
        <v>-1.15667068958282</v>
      </c>
      <c r="H2">
        <v>-0.83401602506637595</v>
      </c>
      <c r="I2">
        <v>-1.64359843730927</v>
      </c>
      <c r="J2">
        <v>-0.85741466283798196</v>
      </c>
      <c r="K2">
        <v>-1.27798712253571</v>
      </c>
      <c r="L2">
        <v>-0.63773787021636996</v>
      </c>
      <c r="M2" s="2"/>
      <c r="N2" s="2"/>
      <c r="O2" s="2"/>
      <c r="P2" s="2"/>
    </row>
    <row r="3" spans="1:16" x14ac:dyDescent="0.3">
      <c r="A3" s="4" t="s">
        <v>10</v>
      </c>
      <c r="B3" s="4">
        <v>2001</v>
      </c>
      <c r="C3" s="4">
        <v>8.3857670129433792</v>
      </c>
      <c r="D3">
        <v>32.5</v>
      </c>
      <c r="E3" s="2">
        <v>29.45</v>
      </c>
      <c r="F3">
        <v>12.9</v>
      </c>
      <c r="G3">
        <v>-1.0262277424335455</v>
      </c>
      <c r="H3">
        <v>-0.69448083639144897</v>
      </c>
      <c r="I3">
        <v>-1.0780722200870541</v>
      </c>
      <c r="J3">
        <v>-0.74814924597740151</v>
      </c>
      <c r="K3">
        <v>-1.0908032357692741</v>
      </c>
      <c r="L3">
        <v>-0.31716612144373374</v>
      </c>
      <c r="M3" s="2"/>
      <c r="N3" s="2"/>
      <c r="O3" s="2"/>
      <c r="P3" s="2"/>
    </row>
    <row r="4" spans="1:16" x14ac:dyDescent="0.3">
      <c r="A4" s="4" t="s">
        <v>10</v>
      </c>
      <c r="B4" s="4">
        <v>2002</v>
      </c>
      <c r="C4" s="4">
        <v>8.3857670129433792</v>
      </c>
      <c r="D4">
        <v>18.2</v>
      </c>
      <c r="E4">
        <v>9.5</v>
      </c>
      <c r="F4">
        <v>24.2839655139652</v>
      </c>
      <c r="G4">
        <v>-0.89578479528427102</v>
      </c>
      <c r="H4">
        <v>-0.55494564771652199</v>
      </c>
      <c r="I4">
        <v>-0.51254600286483798</v>
      </c>
      <c r="J4">
        <v>-0.63888382911682096</v>
      </c>
      <c r="K4">
        <v>-0.90361934900283802</v>
      </c>
      <c r="L4">
        <v>3.40562732890248E-3</v>
      </c>
      <c r="M4" s="2"/>
      <c r="N4" s="2"/>
      <c r="O4" s="2"/>
      <c r="P4" s="2"/>
    </row>
    <row r="5" spans="1:16" x14ac:dyDescent="0.3">
      <c r="A5" s="4" t="s">
        <v>10</v>
      </c>
      <c r="B5" s="4">
        <v>2003</v>
      </c>
      <c r="C5" s="4">
        <v>8.3857670129433792</v>
      </c>
      <c r="D5">
        <v>14.799999999999999</v>
      </c>
      <c r="E5">
        <v>9</v>
      </c>
      <c r="F5">
        <v>16.489072556929901</v>
      </c>
      <c r="G5">
        <v>-0.494189292192459</v>
      </c>
      <c r="H5">
        <v>-0.66549509763717696</v>
      </c>
      <c r="I5">
        <v>-0.58254206180572499</v>
      </c>
      <c r="J5">
        <v>-0.61124318838119496</v>
      </c>
      <c r="K5">
        <v>-0.90482199192047097</v>
      </c>
      <c r="L5">
        <v>-0.12049367278814301</v>
      </c>
      <c r="M5" s="2"/>
      <c r="N5" s="2"/>
      <c r="O5" s="2"/>
      <c r="P5" s="2"/>
    </row>
    <row r="6" spans="1:16" x14ac:dyDescent="0.3">
      <c r="A6" s="4" t="s">
        <v>10</v>
      </c>
      <c r="B6" s="4">
        <v>2004</v>
      </c>
      <c r="C6" s="4">
        <v>8.3857670129433792</v>
      </c>
      <c r="D6">
        <v>15.5</v>
      </c>
      <c r="E6">
        <v>8.5</v>
      </c>
      <c r="F6">
        <v>15.7401629237058</v>
      </c>
      <c r="G6">
        <v>-0.49329379200935403</v>
      </c>
      <c r="H6">
        <v>-0.25116753578186002</v>
      </c>
      <c r="I6">
        <v>-0.50758415460586503</v>
      </c>
      <c r="J6">
        <v>-0.46708360314369202</v>
      </c>
      <c r="K6">
        <v>-0.73836314678192105</v>
      </c>
      <c r="L6">
        <v>-0.17604994773864699</v>
      </c>
      <c r="M6" s="2"/>
      <c r="N6" s="2"/>
      <c r="O6" s="2"/>
      <c r="P6" s="2"/>
    </row>
    <row r="7" spans="1:16" x14ac:dyDescent="0.3">
      <c r="A7" s="4" t="s">
        <v>10</v>
      </c>
      <c r="B7" s="4">
        <v>2005</v>
      </c>
      <c r="C7" s="4">
        <v>8.3857670129433792</v>
      </c>
      <c r="D7">
        <v>17.2</v>
      </c>
      <c r="E7">
        <v>8.5</v>
      </c>
      <c r="F7">
        <v>15.4390514917232</v>
      </c>
      <c r="G7">
        <v>-0.40605136752128601</v>
      </c>
      <c r="H7">
        <v>-0.360925853252411</v>
      </c>
      <c r="I7">
        <v>-0.76241356134414695</v>
      </c>
      <c r="J7">
        <v>-0.62398546934127797</v>
      </c>
      <c r="K7">
        <v>-0.94870078563690197</v>
      </c>
      <c r="L7">
        <v>-0.20695458352565799</v>
      </c>
      <c r="M7" s="2"/>
      <c r="N7" s="2"/>
      <c r="O7" s="2"/>
      <c r="P7" s="2"/>
    </row>
    <row r="8" spans="1:16" x14ac:dyDescent="0.3">
      <c r="A8" s="4" t="s">
        <v>10</v>
      </c>
      <c r="B8" s="4">
        <v>2006</v>
      </c>
      <c r="C8" s="4">
        <v>8.3857670129433792</v>
      </c>
      <c r="D8">
        <v>16.8</v>
      </c>
      <c r="E8">
        <v>14</v>
      </c>
      <c r="F8">
        <v>18.3232448042762</v>
      </c>
      <c r="G8">
        <v>-0.27759146690368702</v>
      </c>
      <c r="H8">
        <v>-0.23850288987159701</v>
      </c>
      <c r="I8">
        <v>-0.53756844997405995</v>
      </c>
      <c r="J8">
        <v>-0.53039503097534202</v>
      </c>
      <c r="K8">
        <v>-0.536948502063751</v>
      </c>
      <c r="L8">
        <v>0.214458927512169</v>
      </c>
      <c r="M8" s="2"/>
      <c r="N8" s="2"/>
      <c r="O8" s="2"/>
      <c r="P8" s="2"/>
    </row>
    <row r="9" spans="1:16" x14ac:dyDescent="0.3">
      <c r="A9" s="4" t="s">
        <v>10</v>
      </c>
      <c r="B9" s="4">
        <v>2007</v>
      </c>
      <c r="C9" s="4">
        <v>8.3857670129433792</v>
      </c>
      <c r="D9">
        <v>14.099999999999998</v>
      </c>
      <c r="E9">
        <v>10</v>
      </c>
      <c r="F9">
        <v>12.62</v>
      </c>
      <c r="G9">
        <v>-0.34168216586112998</v>
      </c>
      <c r="H9">
        <v>-0.255289196968079</v>
      </c>
      <c r="I9">
        <v>-0.59135794639587402</v>
      </c>
      <c r="J9">
        <v>-0.43724316358566301</v>
      </c>
      <c r="K9">
        <v>-0.46427118778228799</v>
      </c>
      <c r="L9">
        <v>0.30530017614364602</v>
      </c>
      <c r="M9" s="2"/>
      <c r="N9" s="2"/>
      <c r="O9" s="2"/>
      <c r="P9" s="2"/>
    </row>
    <row r="10" spans="1:16" x14ac:dyDescent="0.3">
      <c r="A10" s="4" t="s">
        <v>10</v>
      </c>
      <c r="B10" s="4">
        <v>2008</v>
      </c>
      <c r="C10" s="4">
        <v>6.5390067353952901</v>
      </c>
      <c r="D10">
        <v>17.8</v>
      </c>
      <c r="E10">
        <v>17.75</v>
      </c>
      <c r="F10">
        <v>16.1265144614351</v>
      </c>
      <c r="G10">
        <v>-0.30246177315711997</v>
      </c>
      <c r="H10">
        <v>-0.249734953045845</v>
      </c>
      <c r="I10">
        <v>-0.54271298646926902</v>
      </c>
      <c r="J10">
        <v>-0.38687917590141302</v>
      </c>
      <c r="K10">
        <v>-0.49174967408180198</v>
      </c>
      <c r="L10">
        <v>0.281703680753708</v>
      </c>
      <c r="M10" s="2"/>
      <c r="N10" s="2"/>
      <c r="O10" s="2"/>
      <c r="P10" s="2"/>
    </row>
    <row r="11" spans="1:16" x14ac:dyDescent="0.3">
      <c r="A11" s="4" t="s">
        <v>10</v>
      </c>
      <c r="B11" s="4">
        <v>2009</v>
      </c>
      <c r="C11" s="4">
        <v>9.9026382026045106</v>
      </c>
      <c r="D11">
        <v>14.2</v>
      </c>
      <c r="E11">
        <v>9.5</v>
      </c>
      <c r="F11">
        <v>15.386666666666599</v>
      </c>
      <c r="G11">
        <v>-0.31794339418411299</v>
      </c>
      <c r="H11">
        <v>-7.0201635360717801E-2</v>
      </c>
      <c r="I11">
        <v>-0.47735854983329801</v>
      </c>
      <c r="J11">
        <v>-0.18295058608055101</v>
      </c>
      <c r="K11">
        <v>-0.47445863485336298</v>
      </c>
      <c r="L11">
        <v>0.33445504307746898</v>
      </c>
      <c r="M11" s="2"/>
      <c r="N11" s="2"/>
      <c r="O11" s="2"/>
      <c r="P11" s="2"/>
    </row>
    <row r="12" spans="1:16" x14ac:dyDescent="0.3">
      <c r="A12" s="4" t="s">
        <v>10</v>
      </c>
      <c r="B12" s="4">
        <v>2010</v>
      </c>
      <c r="C12" s="4">
        <v>9.4574306018617609</v>
      </c>
      <c r="D12">
        <v>13.4</v>
      </c>
      <c r="E12">
        <v>11.5</v>
      </c>
      <c r="F12">
        <v>11.202777777777699</v>
      </c>
      <c r="G12">
        <v>-0.31941553950309798</v>
      </c>
      <c r="H12">
        <v>-7.6083637773990603E-2</v>
      </c>
      <c r="I12">
        <v>-0.42174166440963701</v>
      </c>
      <c r="J12">
        <v>-6.5657973289489704E-2</v>
      </c>
      <c r="K12">
        <v>-0.43001449108123802</v>
      </c>
      <c r="L12">
        <v>0.28561571240425099</v>
      </c>
      <c r="M12" s="2"/>
      <c r="N12" s="2"/>
      <c r="O12" s="2"/>
      <c r="P12" s="2"/>
    </row>
    <row r="13" spans="1:16" x14ac:dyDescent="0.3">
      <c r="A13" s="4" t="s">
        <v>10</v>
      </c>
      <c r="B13" s="4">
        <v>2011</v>
      </c>
      <c r="C13" s="4">
        <v>7.72855684113365</v>
      </c>
      <c r="D13" s="2">
        <v>13.5</v>
      </c>
      <c r="E13">
        <v>9.75</v>
      </c>
      <c r="F13" s="2">
        <v>9.3000000000000007</v>
      </c>
      <c r="G13">
        <v>-0.29928621649742099</v>
      </c>
      <c r="H13">
        <v>-0.13248197734355899</v>
      </c>
      <c r="I13">
        <v>-0.28288206458091703</v>
      </c>
      <c r="J13">
        <v>-1.6896951943635899E-2</v>
      </c>
      <c r="K13">
        <v>-0.32504934072494501</v>
      </c>
      <c r="L13">
        <v>0.27862447500228898</v>
      </c>
      <c r="M13" s="2"/>
      <c r="N13" s="2"/>
      <c r="O13" s="2"/>
      <c r="P13" s="2"/>
    </row>
    <row r="14" spans="1:16" x14ac:dyDescent="0.3">
      <c r="A14" s="4" t="s">
        <v>10</v>
      </c>
      <c r="B14" s="4">
        <v>2012</v>
      </c>
      <c r="C14" s="4">
        <v>7.8629667921666</v>
      </c>
      <c r="D14" s="2">
        <v>13.8</v>
      </c>
      <c r="E14">
        <v>11.25</v>
      </c>
      <c r="F14" s="2">
        <v>10.199999999999999</v>
      </c>
      <c r="G14">
        <v>-0.357432961463928</v>
      </c>
      <c r="H14">
        <v>-0.173352405428886</v>
      </c>
      <c r="I14">
        <v>-0.21729946136474601</v>
      </c>
      <c r="J14">
        <v>-7.0326253771781894E-2</v>
      </c>
      <c r="K14">
        <v>-0.332835763692856</v>
      </c>
      <c r="L14">
        <v>0.198943495750427</v>
      </c>
      <c r="M14" s="2"/>
      <c r="N14" s="2"/>
      <c r="O14" s="2"/>
      <c r="P14" s="2"/>
    </row>
    <row r="15" spans="1:16" x14ac:dyDescent="0.3">
      <c r="A15" s="4" t="s">
        <v>10</v>
      </c>
      <c r="B15" s="4">
        <v>2013</v>
      </c>
      <c r="C15" s="4">
        <v>7.9769142026423703</v>
      </c>
      <c r="D15" s="2">
        <v>12.1</v>
      </c>
      <c r="E15">
        <v>9.5</v>
      </c>
      <c r="F15" s="2">
        <v>8.4</v>
      </c>
      <c r="G15">
        <v>-0.32784417271614102</v>
      </c>
      <c r="H15">
        <v>-0.17909081280231501</v>
      </c>
      <c r="I15">
        <v>-7.56380930542946E-2</v>
      </c>
      <c r="J15">
        <v>-6.26247003674507E-2</v>
      </c>
      <c r="K15">
        <v>-0.29882889986038202</v>
      </c>
      <c r="L15">
        <v>0.28544306755065901</v>
      </c>
      <c r="M15" s="2"/>
      <c r="N15" s="2"/>
      <c r="O15" s="2"/>
      <c r="P15" s="2"/>
    </row>
    <row r="16" spans="1:16" x14ac:dyDescent="0.3">
      <c r="A16" s="4" t="s">
        <v>10</v>
      </c>
      <c r="B16" s="4">
        <v>2014</v>
      </c>
      <c r="C16" s="4">
        <v>7.5253651090364704</v>
      </c>
      <c r="D16" s="2">
        <v>10.5</v>
      </c>
      <c r="E16">
        <v>8</v>
      </c>
      <c r="F16" s="2">
        <v>6.9</v>
      </c>
      <c r="G16">
        <v>-0.2474045753479</v>
      </c>
      <c r="H16">
        <v>1.6253917710855601E-3</v>
      </c>
      <c r="I16">
        <v>0.18411077558994299</v>
      </c>
      <c r="J16">
        <v>0.18143416941165899</v>
      </c>
      <c r="K16">
        <v>-9.4780981540679904E-2</v>
      </c>
      <c r="L16">
        <v>0.212573081254959</v>
      </c>
      <c r="M16" s="2"/>
      <c r="N16" s="2"/>
      <c r="O16" s="2"/>
      <c r="P16" s="2"/>
    </row>
    <row r="17" spans="1:16" x14ac:dyDescent="0.3">
      <c r="A17" s="4" t="s">
        <v>10</v>
      </c>
      <c r="B17" s="4">
        <v>2015</v>
      </c>
      <c r="C17" s="4">
        <v>8.1613724740566091</v>
      </c>
      <c r="D17" s="2">
        <v>8.7999999999999989</v>
      </c>
      <c r="E17">
        <v>4.5</v>
      </c>
      <c r="F17" s="2">
        <v>4.8499999999999996</v>
      </c>
      <c r="G17">
        <v>-0.318577229976654</v>
      </c>
      <c r="H17">
        <v>-2.6127484161406799E-3</v>
      </c>
      <c r="I17">
        <v>0.23483303189277599</v>
      </c>
      <c r="J17">
        <v>0.13626281917095201</v>
      </c>
      <c r="K17">
        <v>-7.5776860117912306E-2</v>
      </c>
      <c r="L17">
        <v>0.23108972609043099</v>
      </c>
      <c r="M17" s="2"/>
      <c r="N17" s="2"/>
      <c r="O17" s="2"/>
      <c r="P17" s="2"/>
    </row>
    <row r="18" spans="1:16" x14ac:dyDescent="0.3">
      <c r="A18" s="4" t="s">
        <v>10</v>
      </c>
      <c r="B18" s="4">
        <v>2016</v>
      </c>
      <c r="C18" s="4">
        <v>7.5910813237208199</v>
      </c>
      <c r="D18" s="2">
        <v>7.1</v>
      </c>
      <c r="E18">
        <v>4</v>
      </c>
      <c r="F18" s="2">
        <v>3.6</v>
      </c>
      <c r="G18">
        <v>-0.38332316279411299</v>
      </c>
      <c r="H18">
        <v>-3.8609247654676403E-2</v>
      </c>
      <c r="I18">
        <v>0.13328160345554399</v>
      </c>
      <c r="J18">
        <v>2.4931238964199999E-2</v>
      </c>
      <c r="K18">
        <v>-0.127017572522163</v>
      </c>
      <c r="L18">
        <v>0.20003734529018399</v>
      </c>
      <c r="M18" s="2"/>
      <c r="N18" s="2"/>
      <c r="O18" s="2"/>
      <c r="P18" s="2"/>
    </row>
    <row r="19" spans="1:16" x14ac:dyDescent="0.3">
      <c r="A19" s="4" t="s">
        <v>10</v>
      </c>
      <c r="B19" s="4">
        <v>2017</v>
      </c>
      <c r="C19" s="4">
        <v>7.8081530206667296</v>
      </c>
      <c r="D19" s="2">
        <v>6.5</v>
      </c>
      <c r="E19">
        <v>3.5</v>
      </c>
      <c r="F19" s="2">
        <v>2.9</v>
      </c>
      <c r="G19">
        <v>-0.43591099977493297</v>
      </c>
      <c r="H19">
        <v>7.3255531489849104E-2</v>
      </c>
      <c r="I19">
        <v>8.3367988467216506E-2</v>
      </c>
      <c r="J19">
        <v>-4.6661455184221302E-2</v>
      </c>
      <c r="K19">
        <v>-0.17972655594348899</v>
      </c>
      <c r="L19">
        <v>0.11726158112287501</v>
      </c>
      <c r="M19" s="2"/>
      <c r="N19" s="2"/>
      <c r="O19" s="2"/>
      <c r="P19" s="2"/>
    </row>
    <row r="20" spans="1:16" x14ac:dyDescent="0.3">
      <c r="A20" s="4" t="s">
        <v>10</v>
      </c>
      <c r="B20" s="4">
        <v>2018</v>
      </c>
      <c r="C20" s="4">
        <v>8.4217005195992005</v>
      </c>
      <c r="D20" s="2">
        <v>6.2</v>
      </c>
      <c r="E20">
        <v>3</v>
      </c>
      <c r="F20" s="2">
        <v>2.75</v>
      </c>
      <c r="G20">
        <v>-0.39657077193260198</v>
      </c>
      <c r="H20">
        <v>7.4429661035537706E-2</v>
      </c>
      <c r="I20">
        <v>5.3210719488561197E-3</v>
      </c>
      <c r="J20">
        <v>9.9695771932601901E-2</v>
      </c>
      <c r="K20">
        <v>-0.17032261192798601</v>
      </c>
      <c r="L20">
        <v>-1.4722833409905401E-2</v>
      </c>
      <c r="M20" s="2"/>
      <c r="N20" s="2"/>
      <c r="O20" s="2"/>
      <c r="P20" s="2"/>
    </row>
    <row r="21" spans="1:16" x14ac:dyDescent="0.3">
      <c r="A21" s="4" t="s">
        <v>10</v>
      </c>
      <c r="B21" s="4">
        <v>2019</v>
      </c>
      <c r="C21" s="4">
        <v>7.8677248722426798</v>
      </c>
      <c r="D21" s="2">
        <v>5.8000000000000007</v>
      </c>
      <c r="E21">
        <v>2.25</v>
      </c>
      <c r="F21" s="2">
        <v>2.6</v>
      </c>
      <c r="G21">
        <v>-0.45022532343864402</v>
      </c>
      <c r="H21">
        <v>-1.67613662779331E-2</v>
      </c>
      <c r="I21">
        <v>-7.80515447258949E-2</v>
      </c>
      <c r="J21">
        <v>9.7264789044856997E-2</v>
      </c>
      <c r="K21">
        <v>-0.14385189116001099</v>
      </c>
      <c r="L21">
        <v>-4.68242391943932E-2</v>
      </c>
      <c r="M21" s="2"/>
      <c r="N21" s="2"/>
      <c r="O21" s="2"/>
      <c r="P21" s="2"/>
    </row>
    <row r="22" spans="1:16" x14ac:dyDescent="0.3">
      <c r="A22" s="4" t="s">
        <v>10</v>
      </c>
      <c r="B22" s="4">
        <v>2020</v>
      </c>
      <c r="C22" s="4">
        <v>6.9236503994226597</v>
      </c>
      <c r="D22" s="2">
        <v>4.9000000000000004</v>
      </c>
      <c r="E22">
        <v>1</v>
      </c>
      <c r="F22" s="2">
        <v>1.8</v>
      </c>
      <c r="G22">
        <v>-0.45147082209587103</v>
      </c>
      <c r="H22">
        <v>-4.29243594408035E-2</v>
      </c>
      <c r="I22">
        <v>-0.17075441777706099</v>
      </c>
      <c r="J22">
        <v>8.0396354198455797E-2</v>
      </c>
      <c r="K22">
        <v>-0.123005606234074</v>
      </c>
      <c r="L22">
        <v>-0.120949499309063</v>
      </c>
      <c r="M22" s="2"/>
      <c r="N22" s="2"/>
      <c r="O22" s="2"/>
      <c r="P22" s="2"/>
    </row>
    <row r="23" spans="1:16" x14ac:dyDescent="0.3">
      <c r="A23" s="4" t="s">
        <v>10</v>
      </c>
      <c r="B23" s="4">
        <v>2021</v>
      </c>
      <c r="C23" s="4">
        <v>6.9494367286726701</v>
      </c>
      <c r="D23" s="2">
        <v>3.5999999999999996</v>
      </c>
      <c r="E23">
        <v>1</v>
      </c>
      <c r="F23" s="2">
        <v>1.65</v>
      </c>
      <c r="G23">
        <v>-0.45914009213447599</v>
      </c>
      <c r="H23">
        <v>1.235440839082E-2</v>
      </c>
      <c r="I23">
        <v>-8.5211463272571605E-2</v>
      </c>
      <c r="J23">
        <v>3.5520173609256703E-2</v>
      </c>
      <c r="K23">
        <v>-0.115502558648586</v>
      </c>
      <c r="L23">
        <v>-0.128316611051559</v>
      </c>
      <c r="M23" s="2"/>
      <c r="N23" s="2"/>
      <c r="O23" s="2"/>
      <c r="P23" s="2"/>
    </row>
    <row r="24" spans="1:16" x14ac:dyDescent="0.3">
      <c r="A24" s="4" t="s">
        <v>10</v>
      </c>
      <c r="B24" s="4">
        <v>2022</v>
      </c>
      <c r="C24" s="4">
        <v>8.5379332798646494</v>
      </c>
      <c r="D24" s="2">
        <v>6</v>
      </c>
      <c r="E24">
        <v>5</v>
      </c>
      <c r="F24" s="2">
        <v>3.2</v>
      </c>
      <c r="G24">
        <v>-0.45654243230819702</v>
      </c>
      <c r="H24">
        <v>6.5175987780094105E-2</v>
      </c>
      <c r="I24">
        <v>-0.174069464206696</v>
      </c>
      <c r="J24">
        <v>0.13709244132041901</v>
      </c>
      <c r="K24">
        <v>-0.113955773413181</v>
      </c>
      <c r="L24">
        <v>-9.8247997462749495E-2</v>
      </c>
      <c r="M24" s="2"/>
      <c r="N24" s="2"/>
      <c r="O24" s="2"/>
      <c r="P24" s="2"/>
    </row>
    <row r="25" spans="1:16" x14ac:dyDescent="0.3">
      <c r="A25" s="4" t="s">
        <v>10</v>
      </c>
      <c r="B25" s="4">
        <v>2023</v>
      </c>
      <c r="C25" s="4">
        <v>7.0960644346216002</v>
      </c>
      <c r="D25" s="2">
        <v>12.5</v>
      </c>
      <c r="E25">
        <v>6.5</v>
      </c>
      <c r="F25" s="2">
        <v>5.45</v>
      </c>
      <c r="G25">
        <v>-0.44720426201820401</v>
      </c>
      <c r="H25">
        <v>7.6343188993632802E-3</v>
      </c>
      <c r="I25">
        <v>-3.9109706878662102E-2</v>
      </c>
      <c r="J25">
        <v>0.13791570067405701</v>
      </c>
      <c r="K25">
        <v>-7.4504487216472598E-2</v>
      </c>
      <c r="L25">
        <v>-5.5000159889459603E-2</v>
      </c>
      <c r="M25" s="2"/>
      <c r="N25" s="2"/>
      <c r="O25" s="2"/>
      <c r="P25" s="2"/>
    </row>
    <row r="26" spans="1:16" x14ac:dyDescent="0.3">
      <c r="A26" s="4" t="s">
        <v>10</v>
      </c>
      <c r="B26" s="4">
        <v>2024</v>
      </c>
      <c r="C26" s="4">
        <v>6.3965964016228902</v>
      </c>
      <c r="D26" s="2">
        <v>11.200000000000001</v>
      </c>
      <c r="E26">
        <v>5.75</v>
      </c>
      <c r="F26" s="2">
        <v>4.4000000000000004</v>
      </c>
      <c r="G26">
        <v>-0.45291658639907845</v>
      </c>
      <c r="H26">
        <v>5.0957978703081563E-3</v>
      </c>
      <c r="I26">
        <v>-0.10943931937217713</v>
      </c>
      <c r="J26">
        <v>9.7637891769409096E-2</v>
      </c>
      <c r="K26">
        <v>-0.11416406333446491</v>
      </c>
      <c r="L26">
        <v>-8.986770138144487E-2</v>
      </c>
      <c r="M26" s="2"/>
      <c r="N26" s="2"/>
      <c r="O26" s="2"/>
      <c r="P26" s="2"/>
    </row>
    <row r="27" spans="1:16" x14ac:dyDescent="0.3">
      <c r="A27" s="1" t="s">
        <v>0</v>
      </c>
      <c r="B27" s="1">
        <v>2000</v>
      </c>
      <c r="C27" s="1">
        <v>7.1719365262192403</v>
      </c>
      <c r="D27" s="2">
        <v>31.2</v>
      </c>
      <c r="E27" s="2">
        <v>30</v>
      </c>
      <c r="F27" s="2">
        <v>21.9</v>
      </c>
      <c r="G27">
        <v>-1.0804147720336901</v>
      </c>
      <c r="H27">
        <v>-1.0199832916259799</v>
      </c>
      <c r="I27">
        <v>-1.3019504547119101</v>
      </c>
      <c r="J27">
        <v>-2.2429056167602499</v>
      </c>
      <c r="K27">
        <v>-1.200798869133</v>
      </c>
      <c r="L27">
        <v>-1.8333867788314799</v>
      </c>
      <c r="M27" s="7">
        <v>0.8341907262802124</v>
      </c>
      <c r="N27" s="7"/>
      <c r="O27">
        <v>-1.9393720626831055</v>
      </c>
      <c r="P27">
        <v>0</v>
      </c>
    </row>
    <row r="28" spans="1:16" x14ac:dyDescent="0.3">
      <c r="A28" s="1" t="s">
        <v>0</v>
      </c>
      <c r="B28" s="1">
        <v>2001</v>
      </c>
      <c r="C28" s="1">
        <v>7.1719365262192403</v>
      </c>
      <c r="D28" s="2">
        <v>25.4</v>
      </c>
      <c r="E28" s="2">
        <v>30</v>
      </c>
      <c r="F28" s="2">
        <v>21.8</v>
      </c>
      <c r="G28">
        <v>-1.0225768387317651</v>
      </c>
      <c r="H28">
        <v>-1.11418837308884</v>
      </c>
      <c r="I28">
        <v>-1.1794170141220051</v>
      </c>
      <c r="J28">
        <v>-1.87670814990997</v>
      </c>
      <c r="K28">
        <v>-1.3204330205917401</v>
      </c>
      <c r="L28">
        <v>-1.8213490843772899</v>
      </c>
      <c r="M28" s="7"/>
      <c r="N28" s="7"/>
      <c r="O28">
        <v>-1.9393720626831055</v>
      </c>
      <c r="P28">
        <v>0</v>
      </c>
    </row>
    <row r="29" spans="1:16" x14ac:dyDescent="0.3">
      <c r="A29" s="1" t="s">
        <v>0</v>
      </c>
      <c r="B29" s="1">
        <v>2002</v>
      </c>
      <c r="C29" s="1">
        <v>7.1719365262192403</v>
      </c>
      <c r="D29" s="2">
        <v>23.5</v>
      </c>
      <c r="E29" s="2">
        <v>30</v>
      </c>
      <c r="F29" s="2">
        <v>18.5</v>
      </c>
      <c r="G29">
        <v>-0.96473890542983998</v>
      </c>
      <c r="H29">
        <v>-1.2083934545517001</v>
      </c>
      <c r="I29">
        <v>-1.0568835735321001</v>
      </c>
      <c r="J29">
        <v>-1.5105106830596899</v>
      </c>
      <c r="K29">
        <v>-1.4400671720504801</v>
      </c>
      <c r="L29">
        <v>-1.8093113899230999</v>
      </c>
      <c r="M29" s="7"/>
      <c r="N29" s="7"/>
      <c r="O29">
        <v>-1.9393720626831055</v>
      </c>
      <c r="P29">
        <v>0</v>
      </c>
    </row>
    <row r="30" spans="1:16" x14ac:dyDescent="0.3">
      <c r="A30" s="1" t="s">
        <v>0</v>
      </c>
      <c r="B30" s="1">
        <v>2003</v>
      </c>
      <c r="C30" s="1">
        <v>7.1719365262192403</v>
      </c>
      <c r="D30" s="2">
        <v>20.8</v>
      </c>
      <c r="E30" s="2">
        <v>20</v>
      </c>
      <c r="F30" s="2">
        <v>15.2</v>
      </c>
      <c r="G30">
        <v>-0.91487193107605003</v>
      </c>
      <c r="H30">
        <v>-1.1884113550186199</v>
      </c>
      <c r="I30">
        <v>-1.29919517040253</v>
      </c>
      <c r="J30">
        <v>-1.4239000082016</v>
      </c>
      <c r="K30">
        <v>-1.2466171979904199</v>
      </c>
      <c r="L30">
        <v>-1.76460289955139</v>
      </c>
      <c r="M30" s="7"/>
      <c r="N30" s="7"/>
      <c r="O30">
        <v>-1.2538762092590332</v>
      </c>
      <c r="P30">
        <v>0.1624319851398468</v>
      </c>
    </row>
    <row r="31" spans="1:16" x14ac:dyDescent="0.3">
      <c r="A31" s="1" t="s">
        <v>0</v>
      </c>
      <c r="B31" s="1">
        <v>2004</v>
      </c>
      <c r="C31" s="1">
        <v>7.1719365262192403</v>
      </c>
      <c r="D31" s="2">
        <v>18.2</v>
      </c>
      <c r="E31" s="2">
        <v>16</v>
      </c>
      <c r="F31" s="2">
        <v>14.8</v>
      </c>
      <c r="G31">
        <v>-1.0688120126724201</v>
      </c>
      <c r="H31">
        <v>-1.20203280448914</v>
      </c>
      <c r="I31">
        <v>-1.45551669597626</v>
      </c>
      <c r="J31">
        <v>-1.5811901092529299</v>
      </c>
      <c r="K31">
        <v>-1.33680975437164</v>
      </c>
      <c r="L31">
        <v>-1.7808594703674301</v>
      </c>
      <c r="M31" s="7"/>
      <c r="N31" s="7"/>
      <c r="O31">
        <v>-1.2538762092590332</v>
      </c>
      <c r="P31">
        <v>0.1624319851398468</v>
      </c>
    </row>
    <row r="32" spans="1:16" x14ac:dyDescent="0.3">
      <c r="A32" s="1" t="s">
        <v>0</v>
      </c>
      <c r="B32" s="1">
        <v>2005</v>
      </c>
      <c r="C32" s="1">
        <v>7.1719365262192403</v>
      </c>
      <c r="D32" s="2">
        <v>17.5</v>
      </c>
      <c r="E32" s="2">
        <v>12</v>
      </c>
      <c r="F32" s="2">
        <v>12.1</v>
      </c>
      <c r="G32">
        <v>-1.22963762283325</v>
      </c>
      <c r="H32">
        <v>-1.2245956659317001</v>
      </c>
      <c r="I32">
        <v>-1.9578956365585301</v>
      </c>
      <c r="J32">
        <v>-1.5138239860534699</v>
      </c>
      <c r="K32">
        <v>-1.47870898246765</v>
      </c>
      <c r="L32">
        <v>-1.9302389621734599</v>
      </c>
      <c r="M32" s="7"/>
      <c r="N32" s="7"/>
      <c r="O32">
        <v>-1.2538762092590332</v>
      </c>
      <c r="P32">
        <v>0.1624319851398468</v>
      </c>
    </row>
    <row r="33" spans="1:16" x14ac:dyDescent="0.3">
      <c r="A33" s="1" t="s">
        <v>0</v>
      </c>
      <c r="B33" s="1">
        <v>2006</v>
      </c>
      <c r="C33" s="1">
        <v>8.1801854074369995</v>
      </c>
      <c r="D33" s="2">
        <v>16.100000000000001</v>
      </c>
      <c r="E33" s="2">
        <v>12</v>
      </c>
      <c r="F33" s="2">
        <v>13.5</v>
      </c>
      <c r="G33">
        <v>-1.01633596420288</v>
      </c>
      <c r="H33">
        <v>-1.1859321594238299</v>
      </c>
      <c r="I33">
        <v>-1.7846595048904399</v>
      </c>
      <c r="J33">
        <v>-1.62845742702484</v>
      </c>
      <c r="K33">
        <v>-1.4535946846008301</v>
      </c>
      <c r="L33">
        <v>-2.0717973709106401</v>
      </c>
      <c r="M33" s="7"/>
      <c r="N33" s="7"/>
      <c r="O33">
        <v>-1.2538762092590332</v>
      </c>
      <c r="P33">
        <v>0.1624319851398468</v>
      </c>
    </row>
    <row r="34" spans="1:16" x14ac:dyDescent="0.3">
      <c r="A34" s="1" t="s">
        <v>0</v>
      </c>
      <c r="B34" s="1">
        <v>2007</v>
      </c>
      <c r="C34" s="1">
        <v>7.6488868601181803</v>
      </c>
      <c r="D34" s="2">
        <v>15.4</v>
      </c>
      <c r="E34" s="2">
        <v>10</v>
      </c>
      <c r="F34" s="2">
        <v>14.2</v>
      </c>
      <c r="G34">
        <v>-1.03378558158875</v>
      </c>
      <c r="H34">
        <v>-1.1399731636047401</v>
      </c>
      <c r="I34">
        <v>-1.36203336715698</v>
      </c>
      <c r="J34">
        <v>-1.50605273246765</v>
      </c>
      <c r="K34">
        <v>-1.2247049808502199</v>
      </c>
      <c r="L34">
        <v>-2.1176378726959202</v>
      </c>
      <c r="M34" s="7"/>
      <c r="N34" s="7"/>
      <c r="O34">
        <v>-1.2538762092590332</v>
      </c>
      <c r="P34">
        <v>0.1624319851398468</v>
      </c>
    </row>
    <row r="35" spans="1:16" x14ac:dyDescent="0.3">
      <c r="A35" s="1" t="s">
        <v>0</v>
      </c>
      <c r="B35" s="1">
        <v>2008</v>
      </c>
      <c r="C35" s="1">
        <v>12.284358798573701</v>
      </c>
      <c r="D35" s="2">
        <v>14.8</v>
      </c>
      <c r="E35" s="2">
        <v>10</v>
      </c>
      <c r="F35" s="2">
        <v>13.8</v>
      </c>
      <c r="G35">
        <v>-1.0628572702407799</v>
      </c>
      <c r="H35">
        <v>-0.89945483207702603</v>
      </c>
      <c r="I35">
        <v>-1.2071064710617101</v>
      </c>
      <c r="J35">
        <v>-1.3638404607772801</v>
      </c>
      <c r="K35">
        <v>-1.1736358404159499</v>
      </c>
      <c r="L35">
        <v>-2.1001427173614502</v>
      </c>
      <c r="M35" s="7"/>
      <c r="N35" s="7"/>
      <c r="O35">
        <v>-1.2538762092590332</v>
      </c>
      <c r="P35">
        <v>0.1624319851398468</v>
      </c>
    </row>
    <row r="36" spans="1:16" x14ac:dyDescent="0.3">
      <c r="A36" s="1" t="s">
        <v>0</v>
      </c>
      <c r="B36" s="1">
        <v>2009</v>
      </c>
      <c r="C36" s="1">
        <v>6.4652488208339598</v>
      </c>
      <c r="D36" s="2">
        <v>15.2</v>
      </c>
      <c r="E36" s="2">
        <v>14</v>
      </c>
      <c r="F36" s="2">
        <v>14.1</v>
      </c>
      <c r="G36">
        <v>-1.27607345581055</v>
      </c>
      <c r="H36">
        <v>-0.64713835716247603</v>
      </c>
      <c r="I36">
        <v>-0.95055252313613903</v>
      </c>
      <c r="J36">
        <v>-1.4691733121871899</v>
      </c>
      <c r="K36">
        <v>-1.3261954784393299</v>
      </c>
      <c r="L36">
        <v>-2.10261058807373</v>
      </c>
      <c r="M36" s="7"/>
      <c r="N36" s="7"/>
      <c r="O36">
        <v>-1.2538762092590332</v>
      </c>
      <c r="P36">
        <v>0.1624319851398468</v>
      </c>
    </row>
    <row r="37" spans="1:16" x14ac:dyDescent="0.3">
      <c r="A37" s="1" t="s">
        <v>0</v>
      </c>
      <c r="B37" s="1">
        <v>2010</v>
      </c>
      <c r="C37" s="1">
        <v>6.9031093392525502</v>
      </c>
      <c r="D37" s="2">
        <v>15</v>
      </c>
      <c r="E37" s="2">
        <v>12</v>
      </c>
      <c r="F37" s="2">
        <v>14.3</v>
      </c>
      <c r="G37">
        <v>-1.3079854249954199</v>
      </c>
      <c r="H37">
        <v>-0.73364239931106601</v>
      </c>
      <c r="I37">
        <v>-0.72043812274932895</v>
      </c>
      <c r="J37">
        <v>-1.5364773273468</v>
      </c>
      <c r="K37">
        <v>-1.41664183139801</v>
      </c>
      <c r="L37">
        <v>-2.08567190170288</v>
      </c>
      <c r="M37" s="7"/>
      <c r="N37" s="7"/>
      <c r="O37">
        <v>-1.9393720626831055</v>
      </c>
      <c r="P37">
        <v>0</v>
      </c>
    </row>
    <row r="38" spans="1:16" x14ac:dyDescent="0.3">
      <c r="A38" s="1" t="s">
        <v>0</v>
      </c>
      <c r="B38" s="1">
        <v>2011</v>
      </c>
      <c r="C38" s="1">
        <v>8.1547174516651104</v>
      </c>
      <c r="D38" s="2">
        <v>14.5</v>
      </c>
      <c r="E38" s="2">
        <v>12</v>
      </c>
      <c r="F38" s="2">
        <v>14.5</v>
      </c>
      <c r="G38">
        <v>-1.3875648975372299</v>
      </c>
      <c r="H38">
        <v>-0.69839727878570601</v>
      </c>
      <c r="I38">
        <v>-0.59971934556961104</v>
      </c>
      <c r="J38">
        <v>-1.5577813386917101</v>
      </c>
      <c r="K38">
        <v>-1.4524018764495801</v>
      </c>
      <c r="L38">
        <v>-2.1244306564331099</v>
      </c>
      <c r="M38" s="7"/>
      <c r="N38" s="7"/>
      <c r="O38">
        <v>-1.9393720626831055</v>
      </c>
      <c r="P38">
        <v>0</v>
      </c>
    </row>
    <row r="39" spans="1:16" x14ac:dyDescent="0.3">
      <c r="A39" s="1" t="s">
        <v>0</v>
      </c>
      <c r="B39" s="1">
        <v>2012</v>
      </c>
      <c r="C39" s="1">
        <v>9.0168993599715801</v>
      </c>
      <c r="D39" s="2">
        <v>14.2</v>
      </c>
      <c r="E39" s="2">
        <v>12</v>
      </c>
      <c r="F39" s="2">
        <v>14.5</v>
      </c>
      <c r="G39">
        <v>-1.31068003177643</v>
      </c>
      <c r="H39">
        <v>-0.92616885900497403</v>
      </c>
      <c r="I39">
        <v>-0.51873934268951405</v>
      </c>
      <c r="J39">
        <v>-1.5799834728241</v>
      </c>
      <c r="K39">
        <v>-1.2992758750915501</v>
      </c>
      <c r="L39">
        <v>-2.0335488319396999</v>
      </c>
      <c r="M39" s="7"/>
      <c r="N39" s="7"/>
      <c r="O39">
        <v>-1.9393720626831055</v>
      </c>
      <c r="P39">
        <v>0</v>
      </c>
    </row>
    <row r="40" spans="1:16" x14ac:dyDescent="0.3">
      <c r="A40" s="1" t="s">
        <v>0</v>
      </c>
      <c r="B40" s="1">
        <v>2013</v>
      </c>
      <c r="C40" s="1">
        <v>8.8023114694206193</v>
      </c>
      <c r="D40">
        <v>16.2015669481166</v>
      </c>
      <c r="E40">
        <v>12</v>
      </c>
      <c r="F40">
        <v>15.3673562997036</v>
      </c>
      <c r="G40">
        <v>-1.2734333276748699</v>
      </c>
      <c r="H40">
        <v>-0.93116635084152199</v>
      </c>
      <c r="I40">
        <v>-0.53607898950576804</v>
      </c>
      <c r="J40">
        <v>-1.60398280620575</v>
      </c>
      <c r="K40">
        <v>-1.23550093173981</v>
      </c>
      <c r="L40">
        <v>-1.9666668176651001</v>
      </c>
      <c r="M40" s="7"/>
      <c r="N40" s="7"/>
      <c r="O40">
        <v>-1.9393720626831055</v>
      </c>
      <c r="P40">
        <v>0</v>
      </c>
    </row>
    <row r="41" spans="1:16" x14ac:dyDescent="0.3">
      <c r="A41" s="1" t="s">
        <v>0</v>
      </c>
      <c r="B41" s="1">
        <v>2014</v>
      </c>
      <c r="C41" s="1">
        <v>8.4288252833974795</v>
      </c>
      <c r="D41">
        <v>15.9901521817941</v>
      </c>
      <c r="E41">
        <v>10</v>
      </c>
      <c r="F41">
        <v>17.285896932126601</v>
      </c>
      <c r="G41">
        <v>-1.1947596073150599</v>
      </c>
      <c r="H41">
        <v>-0.63755977153778098</v>
      </c>
      <c r="I41">
        <v>-0.273108631372452</v>
      </c>
      <c r="J41">
        <v>-1.72982561588287</v>
      </c>
      <c r="K41">
        <v>-1.1344530582428001</v>
      </c>
      <c r="L41">
        <v>-1.91344571113586</v>
      </c>
      <c r="M41" s="7"/>
      <c r="N41" s="7"/>
      <c r="O41">
        <v>-1.9393720626831055</v>
      </c>
      <c r="P41">
        <v>0</v>
      </c>
    </row>
    <row r="42" spans="1:16" x14ac:dyDescent="0.3">
      <c r="A42" s="1" t="s">
        <v>0</v>
      </c>
      <c r="B42" s="1">
        <v>2015</v>
      </c>
      <c r="C42" s="1">
        <v>5.6187814354481302</v>
      </c>
      <c r="D42">
        <v>13.773762892752901</v>
      </c>
      <c r="E42">
        <v>9</v>
      </c>
      <c r="F42">
        <v>13.5877412535697</v>
      </c>
      <c r="G42">
        <v>-1.2858517169952399</v>
      </c>
      <c r="H42">
        <v>-0.75294834375381503</v>
      </c>
      <c r="I42">
        <v>-0.374532461166382</v>
      </c>
      <c r="J42">
        <v>-1.6880589723587001</v>
      </c>
      <c r="K42">
        <v>-1.1387138366699201</v>
      </c>
      <c r="L42">
        <v>-1.9562792778015099</v>
      </c>
      <c r="M42" s="7">
        <v>0.5942808985710144</v>
      </c>
      <c r="N42" s="7"/>
      <c r="O42">
        <v>-1.9393720626831055</v>
      </c>
      <c r="P42">
        <v>0</v>
      </c>
    </row>
    <row r="43" spans="1:16" x14ac:dyDescent="0.3">
      <c r="A43" s="1" t="s">
        <v>0</v>
      </c>
      <c r="B43" s="1">
        <v>2016</v>
      </c>
      <c r="C43" s="1">
        <v>6.72762541776342</v>
      </c>
      <c r="D43">
        <v>13.523966791527601</v>
      </c>
      <c r="E43">
        <v>9</v>
      </c>
      <c r="F43">
        <v>14.751121800423199</v>
      </c>
      <c r="G43">
        <v>-1.20056760311127</v>
      </c>
      <c r="H43">
        <v>-0.66151791810989402</v>
      </c>
      <c r="I43">
        <v>-0.28075370192527799</v>
      </c>
      <c r="J43">
        <v>-1.63551414012909</v>
      </c>
      <c r="K43">
        <v>-1.12917804718018</v>
      </c>
      <c r="L43">
        <v>-1.88692986965179</v>
      </c>
      <c r="M43" s="7">
        <v>0.56410980224609375</v>
      </c>
      <c r="N43" s="7"/>
      <c r="O43">
        <v>-1.9393720626831055</v>
      </c>
      <c r="P43">
        <v>0</v>
      </c>
    </row>
    <row r="44" spans="1:16" x14ac:dyDescent="0.3">
      <c r="A44" s="1" t="s">
        <v>0</v>
      </c>
      <c r="B44" s="1">
        <v>2017</v>
      </c>
      <c r="C44" s="1">
        <v>10.229300032269601</v>
      </c>
      <c r="D44">
        <v>15.3767768819837</v>
      </c>
      <c r="E44">
        <v>14</v>
      </c>
      <c r="F44">
        <v>14.6728857315923</v>
      </c>
      <c r="G44">
        <v>-1.18715500831604</v>
      </c>
      <c r="H44">
        <v>-0.63024741411209095</v>
      </c>
      <c r="I44">
        <v>-0.24497866630554199</v>
      </c>
      <c r="J44">
        <v>-1.2914744615554801</v>
      </c>
      <c r="K44">
        <v>-1.1345919370651201</v>
      </c>
      <c r="L44">
        <v>-1.7974535226821899</v>
      </c>
      <c r="M44" s="7">
        <v>5.2265401929616928E-2</v>
      </c>
      <c r="N44" s="7"/>
      <c r="O44">
        <v>-1.9393720626831055</v>
      </c>
      <c r="P44">
        <v>0</v>
      </c>
    </row>
    <row r="45" spans="1:16" x14ac:dyDescent="0.3">
      <c r="A45" s="1" t="s">
        <v>0</v>
      </c>
      <c r="B45" s="1">
        <v>2018</v>
      </c>
      <c r="C45" s="1">
        <v>12.9644724922439</v>
      </c>
      <c r="D45">
        <v>19.965622163119299</v>
      </c>
      <c r="E45">
        <v>16</v>
      </c>
      <c r="F45">
        <v>14.255501404814201</v>
      </c>
      <c r="G45">
        <v>-1.08264088630676</v>
      </c>
      <c r="H45">
        <v>-0.61695796251296997</v>
      </c>
      <c r="I45">
        <v>-0.30440109968185403</v>
      </c>
      <c r="J45">
        <v>-1.1386688947677599</v>
      </c>
      <c r="K45">
        <v>-1.09895992279053</v>
      </c>
      <c r="L45">
        <v>-1.62735140323639</v>
      </c>
      <c r="M45" s="7">
        <v>0.42821881175041199</v>
      </c>
      <c r="N45" s="7">
        <v>0.67047452926635742</v>
      </c>
      <c r="O45">
        <v>-1.2538762092590332</v>
      </c>
      <c r="P45">
        <v>0.1624319851398468</v>
      </c>
    </row>
    <row r="46" spans="1:16" x14ac:dyDescent="0.3">
      <c r="A46" s="1" t="s">
        <v>0</v>
      </c>
      <c r="B46" s="1">
        <v>2019</v>
      </c>
      <c r="C46" s="1">
        <v>12.69979421355</v>
      </c>
      <c r="D46">
        <v>23.606067478246299</v>
      </c>
      <c r="E46">
        <v>16</v>
      </c>
      <c r="F46">
        <v>16.155981174102699</v>
      </c>
      <c r="G46">
        <v>-1.0470510721206701</v>
      </c>
      <c r="H46">
        <v>-0.60009747743606601</v>
      </c>
      <c r="I46">
        <v>-0.296637773513794</v>
      </c>
      <c r="J46">
        <v>-1.0553227663040201</v>
      </c>
      <c r="K46">
        <v>-1.08285343647003</v>
      </c>
      <c r="L46">
        <v>-1.65221631526947</v>
      </c>
      <c r="M46" s="7">
        <v>0.31691658496856689</v>
      </c>
      <c r="N46" s="7">
        <v>0.60153406858444214</v>
      </c>
      <c r="O46">
        <v>-1.2538762092590332</v>
      </c>
      <c r="P46">
        <v>0.1624319851398468</v>
      </c>
    </row>
    <row r="47" spans="1:16" x14ac:dyDescent="0.3">
      <c r="A47" s="1" t="s">
        <v>0</v>
      </c>
      <c r="B47" s="1">
        <v>2020</v>
      </c>
      <c r="C47" s="1">
        <v>10.661314975789599</v>
      </c>
      <c r="D47">
        <v>22.341051030658701</v>
      </c>
      <c r="E47">
        <v>14</v>
      </c>
      <c r="F47">
        <v>16.310987690841301</v>
      </c>
      <c r="G47">
        <v>-1.0734041929245</v>
      </c>
      <c r="H47">
        <v>-0.615506291389465</v>
      </c>
      <c r="I47">
        <v>-0.43669804930687001</v>
      </c>
      <c r="J47">
        <v>-0.99921643733978305</v>
      </c>
      <c r="K47">
        <v>-1.1178784370422401</v>
      </c>
      <c r="L47">
        <v>-1.5314761400222801</v>
      </c>
      <c r="M47" s="7">
        <v>0.38283640146255493</v>
      </c>
      <c r="N47" s="7">
        <v>0.70055699348449707</v>
      </c>
      <c r="O47">
        <v>-1.2538762092590332</v>
      </c>
      <c r="P47">
        <v>0.1624319851398468</v>
      </c>
    </row>
    <row r="48" spans="1:16" x14ac:dyDescent="0.3">
      <c r="A48" s="1" t="s">
        <v>0</v>
      </c>
      <c r="B48" s="1">
        <v>2021</v>
      </c>
      <c r="C48" s="1">
        <v>11.994877144838499</v>
      </c>
      <c r="D48">
        <v>21.423085850867501</v>
      </c>
      <c r="E48">
        <v>14</v>
      </c>
      <c r="F48">
        <v>16.317755642206201</v>
      </c>
      <c r="G48">
        <v>-0.82975530624389604</v>
      </c>
      <c r="H48">
        <v>-0.26464053988456698</v>
      </c>
      <c r="I48">
        <v>-0.25293323397636402</v>
      </c>
      <c r="J48">
        <v>-0.59543633460998502</v>
      </c>
      <c r="K48">
        <v>-0.92124164104461703</v>
      </c>
      <c r="L48">
        <v>-1.3975845575332599</v>
      </c>
      <c r="M48" s="7">
        <v>0.34886940047144888</v>
      </c>
      <c r="N48" s="7">
        <v>0.65752186377843225</v>
      </c>
      <c r="O48">
        <v>-1.2538762092590332</v>
      </c>
      <c r="P48">
        <v>0.1624319851398468</v>
      </c>
    </row>
    <row r="49" spans="1:16" x14ac:dyDescent="0.3">
      <c r="A49" s="1" t="s">
        <v>0</v>
      </c>
      <c r="B49" s="1">
        <v>2022</v>
      </c>
      <c r="C49" s="1">
        <v>17.217341820771502</v>
      </c>
      <c r="D49">
        <v>21.746115456141499</v>
      </c>
      <c r="E49">
        <v>15</v>
      </c>
      <c r="F49">
        <v>17.725947227673601</v>
      </c>
      <c r="G49">
        <v>-0.75777024030685403</v>
      </c>
      <c r="H49">
        <v>-0.32993730902671797</v>
      </c>
      <c r="I49">
        <v>-0.20133601129055001</v>
      </c>
      <c r="J49">
        <v>-0.55031543970107999</v>
      </c>
      <c r="K49">
        <v>-0.85230726003646895</v>
      </c>
      <c r="L49">
        <v>-1.3309236764907799</v>
      </c>
      <c r="M49" s="7">
        <v>0.30582132011651997</v>
      </c>
      <c r="N49" s="7">
        <v>0.65752186377843225</v>
      </c>
      <c r="O49">
        <v>-1.2538762092590332</v>
      </c>
      <c r="P49">
        <v>0.1624319851398468</v>
      </c>
    </row>
    <row r="50" spans="1:16" x14ac:dyDescent="0.3">
      <c r="A50" s="1" t="s">
        <v>0</v>
      </c>
      <c r="B50" s="1">
        <v>2023</v>
      </c>
      <c r="C50" s="1">
        <v>13.804193675086101</v>
      </c>
      <c r="D50">
        <v>22.150086026478899</v>
      </c>
      <c r="E50">
        <v>14</v>
      </c>
      <c r="F50">
        <v>18.0170941772754</v>
      </c>
      <c r="G50">
        <v>-0.80752933025360096</v>
      </c>
      <c r="H50">
        <v>-0.28376752138137801</v>
      </c>
      <c r="I50">
        <v>-0.15460996329784399</v>
      </c>
      <c r="J50">
        <v>-0.57681733369827304</v>
      </c>
      <c r="K50">
        <v>-0.83281099796295199</v>
      </c>
      <c r="L50">
        <v>-1.3096566200256301</v>
      </c>
      <c r="M50" s="7">
        <v>0.35653250375390055</v>
      </c>
      <c r="N50" s="7">
        <v>0.65752186377843225</v>
      </c>
      <c r="O50">
        <v>-1.2538762092590332</v>
      </c>
      <c r="P50">
        <v>0.1624319851398468</v>
      </c>
    </row>
    <row r="51" spans="1:16" x14ac:dyDescent="0.3">
      <c r="A51" s="1" t="s">
        <v>0</v>
      </c>
      <c r="B51" s="1">
        <v>2024</v>
      </c>
      <c r="C51" s="1">
        <v>14.4210991468962</v>
      </c>
      <c r="D51">
        <v>23.133938384592799</v>
      </c>
      <c r="E51">
        <v>13.5</v>
      </c>
      <c r="F51">
        <v>18.1215973161978</v>
      </c>
      <c r="G51">
        <v>-0.90310202836990427</v>
      </c>
      <c r="H51">
        <v>-0.41878982782363883</v>
      </c>
      <c r="I51">
        <v>-0.26844300627708439</v>
      </c>
      <c r="J51">
        <v>-0.75542166233062824</v>
      </c>
      <c r="K51">
        <v>-0.96141835451126156</v>
      </c>
      <c r="L51">
        <v>-1.4443714618682839</v>
      </c>
      <c r="M51" s="2">
        <v>0.34219524215459823</v>
      </c>
      <c r="N51" s="2">
        <v>0.6549313306808473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data-codes</vt:lpstr>
      <vt:lpstr>High receivers</vt:lpstr>
      <vt:lpstr>DATA</vt:lpstr>
      <vt:lpstr>drops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Morales, Mariano J.</dc:creator>
  <cp:lastModifiedBy>Gutierrez Morales, Mariano J.</cp:lastModifiedBy>
  <dcterms:created xsi:type="dcterms:W3CDTF">2026-03-24T10:49:11Z</dcterms:created>
  <dcterms:modified xsi:type="dcterms:W3CDTF">2026-03-27T12:02:20Z</dcterms:modified>
</cp:coreProperties>
</file>